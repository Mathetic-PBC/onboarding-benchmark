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 1" sheetId="1" state="visible" r:id="rId1"/>
    <sheet xmlns:r="http://schemas.openxmlformats.org/officeDocument/2006/relationships" name="Block 2" sheetId="2" state="visible" r:id="rId2"/>
    <sheet xmlns:r="http://schemas.openxmlformats.org/officeDocument/2006/relationships" name="Block 3" sheetId="3" state="visible" r:id="rId3"/>
    <sheet xmlns:r="http://schemas.openxmlformats.org/officeDocument/2006/relationships" name="Block 4" sheetId="4" state="visible" r:id="rId4"/>
    <sheet xmlns:r="http://schemas.openxmlformats.org/officeDocument/2006/relationships" name="Ra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39" customWidth="1" min="10" max="10"/>
  </cols>
  <sheetData>
    <row r="1">
      <c r="A1" t="inlineStr">
        <is>
          <t>Week of</t>
        </is>
      </c>
      <c r="B1" t="inlineStr">
        <is>
          <t>Planned h</t>
        </is>
      </c>
      <c r="C1" t="inlineStr">
        <is>
          <t>Actual h</t>
        </is>
      </c>
      <c r="D1" t="inlineStr">
        <is>
          <t>Run km</t>
        </is>
      </c>
      <c r="E1" t="inlineStr">
        <is>
          <t>Z2 run h</t>
        </is>
      </c>
      <c r="F1" t="inlineStr">
        <is>
          <t>Bike h</t>
        </is>
      </c>
      <c r="G1" t="inlineStr">
        <is>
          <t>Elliptical h</t>
        </is>
      </c>
      <c r="H1" t="inlineStr">
        <is>
          <t>Long run km</t>
        </is>
      </c>
      <c r="I1" t="inlineStr">
        <is>
          <t>Avg Z2 HR</t>
        </is>
      </c>
      <c r="J1" t="inlineStr">
        <is>
          <t>Notes</t>
        </is>
      </c>
    </row>
    <row r="2">
      <c r="A2" t="inlineStr">
        <is>
          <t>2026-01-05</t>
        </is>
      </c>
      <c r="B2" t="n">
        <v>7.5</v>
      </c>
      <c r="C2" t="n">
        <v>6.8</v>
      </c>
      <c r="D2" t="n">
        <v>52.8</v>
      </c>
      <c r="E2" t="n">
        <v>5.1</v>
      </c>
      <c r="F2" t="n">
        <v>1.2</v>
      </c>
      <c r="G2" t="n">
        <v>0.5</v>
      </c>
      <c r="H2" t="n">
        <v>14</v>
      </c>
      <c r="I2" t="n">
        <v>146</v>
      </c>
      <c r="J2" t="inlineStr"/>
    </row>
    <row r="3">
      <c r="A3" t="inlineStr">
        <is>
          <t>2026-01-12</t>
        </is>
      </c>
      <c r="B3" t="n">
        <v>8</v>
      </c>
      <c r="C3" t="n">
        <v>8.300000000000001</v>
      </c>
      <c r="D3" t="n">
        <v>60.5</v>
      </c>
      <c r="E3" t="n">
        <v>6.2</v>
      </c>
      <c r="F3" t="n">
        <v>1.5</v>
      </c>
      <c r="G3" t="n">
        <v>0.6</v>
      </c>
      <c r="H3" t="n">
        <v>14.6</v>
      </c>
      <c r="I3" t="n">
        <v>140</v>
      </c>
      <c r="J3" t="inlineStr">
        <is>
          <t>snow Thu, elliptical instead</t>
        </is>
      </c>
    </row>
    <row r="4">
      <c r="A4" t="inlineStr">
        <is>
          <t>2026-01-19</t>
        </is>
      </c>
      <c r="B4" t="n">
        <v>7.5</v>
      </c>
      <c r="C4" t="n">
        <v>7</v>
      </c>
      <c r="D4" t="n">
        <v>53.9</v>
      </c>
      <c r="E4" t="n">
        <v>5.2</v>
      </c>
      <c r="F4" t="n">
        <v>1.3</v>
      </c>
      <c r="G4" t="n">
        <v>0.5</v>
      </c>
      <c r="H4" t="n">
        <v>15.2</v>
      </c>
      <c r="I4" t="n">
        <v>147</v>
      </c>
      <c r="J4" t="inlineStr"/>
    </row>
    <row r="5">
      <c r="A5" t="inlineStr">
        <is>
          <t>2026-01-26</t>
        </is>
      </c>
      <c r="B5" t="n">
        <v>5.5</v>
      </c>
      <c r="C5" t="n">
        <v>5.2</v>
      </c>
      <c r="D5" t="n">
        <v>39.2</v>
      </c>
      <c r="E5" t="n">
        <v>3.9</v>
      </c>
      <c r="F5" t="n">
        <v>0.9</v>
      </c>
      <c r="G5" t="n">
        <v>0.4</v>
      </c>
      <c r="H5" t="n">
        <v>15.8</v>
      </c>
      <c r="I5" t="n">
        <v>139</v>
      </c>
      <c r="J5" t="inlineStr">
        <is>
          <t>tired, heavy work week (Notion stuff)</t>
        </is>
      </c>
    </row>
    <row r="6">
      <c r="A6" t="inlineStr">
        <is>
          <t>2026-02-02</t>
        </is>
      </c>
      <c r="B6" t="n">
        <v>8</v>
      </c>
      <c r="C6" t="n">
        <v>7.3</v>
      </c>
      <c r="D6" t="n">
        <v>58.1</v>
      </c>
      <c r="E6" t="n">
        <v>5.5</v>
      </c>
      <c r="F6" t="n">
        <v>1.3</v>
      </c>
      <c r="G6" t="n">
        <v>0.5</v>
      </c>
      <c r="H6" t="n">
        <v>16.4</v>
      </c>
      <c r="I6" t="n">
        <v>147</v>
      </c>
      <c r="J6" t="inlineStr"/>
    </row>
    <row r="7">
      <c r="A7" t="inlineStr">
        <is>
          <t>2026-02-09</t>
        </is>
      </c>
      <c r="B7" t="n">
        <v>7.5</v>
      </c>
      <c r="C7" t="n">
        <v>6.9</v>
      </c>
      <c r="D7" t="n">
        <v>52.7</v>
      </c>
      <c r="E7" t="n">
        <v>5.2</v>
      </c>
      <c r="F7" t="n">
        <v>1.2</v>
      </c>
      <c r="G7" t="n">
        <v>0.5</v>
      </c>
      <c r="H7" t="n">
        <v>17</v>
      </c>
      <c r="I7" t="n">
        <v>139</v>
      </c>
      <c r="J7" t="inlineStr"/>
    </row>
    <row r="8">
      <c r="A8" t="inlineStr">
        <is>
          <t>2026-02-16</t>
        </is>
      </c>
      <c r="B8" t="n">
        <v>7.5</v>
      </c>
      <c r="C8" t="n">
        <v>3.4</v>
      </c>
      <c r="D8" t="n">
        <v>27.4</v>
      </c>
      <c r="E8" t="n">
        <v>2.6</v>
      </c>
      <c r="F8" t="n">
        <v>0.6</v>
      </c>
      <c r="G8" t="n">
        <v>0.2</v>
      </c>
      <c r="H8" t="n">
        <v>17.6</v>
      </c>
      <c r="I8" t="n">
        <v>140</v>
      </c>
      <c r="J8" t="inlineStr">
        <is>
          <t>sick 3 days, cut volume</t>
        </is>
      </c>
    </row>
    <row r="9">
      <c r="A9" t="inlineStr">
        <is>
          <t>2026-02-23</t>
        </is>
      </c>
      <c r="B9" t="n">
        <v>6</v>
      </c>
      <c r="C9" t="n">
        <v>5.3</v>
      </c>
      <c r="D9" t="n">
        <v>38.2</v>
      </c>
      <c r="E9" t="n">
        <v>3.9</v>
      </c>
      <c r="F9" t="n">
        <v>1</v>
      </c>
      <c r="G9" t="n">
        <v>0.4</v>
      </c>
      <c r="H9" t="n">
        <v>18.2</v>
      </c>
      <c r="I9" t="n">
        <v>142</v>
      </c>
      <c r="J9" t="inlineStr"/>
    </row>
    <row r="10">
      <c r="A10" t="inlineStr">
        <is>
          <t>2026-03-02</t>
        </is>
      </c>
      <c r="B10" t="n">
        <v>7.5</v>
      </c>
      <c r="C10" t="n">
        <v>7.3</v>
      </c>
      <c r="D10" t="n">
        <v>53.1</v>
      </c>
      <c r="E10" t="n">
        <v>5.5</v>
      </c>
      <c r="F10" t="n">
        <v>1.3</v>
      </c>
      <c r="G10" t="n">
        <v>0.5</v>
      </c>
      <c r="H10" t="n">
        <v>18.8</v>
      </c>
      <c r="I10" t="n">
        <v>145</v>
      </c>
      <c r="J10" t="inlineStr"/>
    </row>
    <row r="11">
      <c r="A11" t="inlineStr">
        <is>
          <t>2026-03-09</t>
        </is>
      </c>
      <c r="B11" t="n">
        <v>7.5</v>
      </c>
      <c r="C11" t="n">
        <v>6.9</v>
      </c>
      <c r="D11" t="n">
        <v>53</v>
      </c>
      <c r="E11" t="n">
        <v>5.2</v>
      </c>
      <c r="F11" t="n">
        <v>1.2</v>
      </c>
      <c r="G11" t="n">
        <v>0.5</v>
      </c>
      <c r="H11" t="n">
        <v>19.4</v>
      </c>
      <c r="I11" t="n">
        <v>141</v>
      </c>
      <c r="J11" t="inlineStr"/>
    </row>
    <row r="12">
      <c r="A12" t="inlineStr">
        <is>
          <t>2026-03-16</t>
        </is>
      </c>
      <c r="B12" t="n">
        <v>8</v>
      </c>
      <c r="C12" t="n">
        <v>8.1</v>
      </c>
      <c r="D12" t="n">
        <v>58.3</v>
      </c>
      <c r="E12" t="n">
        <v>6</v>
      </c>
      <c r="F12" t="n">
        <v>1.5</v>
      </c>
      <c r="G12" t="n">
        <v>0.6</v>
      </c>
      <c r="H12" t="n">
        <v>20</v>
      </c>
      <c r="I12" t="n">
        <v>146</v>
      </c>
      <c r="J12" t="inlineStr"/>
    </row>
    <row r="13">
      <c r="A13" t="inlineStr">
        <is>
          <t>2026-03-23</t>
        </is>
      </c>
      <c r="B13" t="n">
        <v>5.5</v>
      </c>
      <c r="C13" t="n">
        <v>2.5</v>
      </c>
      <c r="D13" t="n">
        <v>19.4</v>
      </c>
      <c r="E13" t="n">
        <v>1.9</v>
      </c>
      <c r="F13" t="n">
        <v>0.4</v>
      </c>
      <c r="G13" t="n">
        <v>0.2</v>
      </c>
      <c r="H13" t="n">
        <v>20.6</v>
      </c>
      <c r="I13" t="n">
        <v>145</v>
      </c>
      <c r="J13" t="inlineStr">
        <is>
          <t>UIST crunch — missed 2 runs</t>
        </is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MAX(H2:H13)</f>
        <v/>
      </c>
      <c r="I14">
        <f>AVERAGE(I2:I13)</f>
        <v/>
      </c>
      <c r="J14" t="inlineStr">
        <is>
          <t>base: Z2 only, strides 2x/week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33" customWidth="1" min="10" max="10"/>
  </cols>
  <sheetData>
    <row r="1">
      <c r="A1" t="inlineStr">
        <is>
          <t>Week of</t>
        </is>
      </c>
      <c r="B1" t="inlineStr">
        <is>
          <t>Planned h</t>
        </is>
      </c>
      <c r="C1" t="inlineStr">
        <is>
          <t>Actual h</t>
        </is>
      </c>
      <c r="D1" t="inlineStr">
        <is>
          <t>Run km</t>
        </is>
      </c>
      <c r="E1" t="inlineStr">
        <is>
          <t>Z2 run h</t>
        </is>
      </c>
      <c r="F1" t="inlineStr">
        <is>
          <t>Bike h</t>
        </is>
      </c>
      <c r="G1" t="inlineStr">
        <is>
          <t>Elliptical h</t>
        </is>
      </c>
      <c r="H1" t="inlineStr">
        <is>
          <t>Long run km</t>
        </is>
      </c>
      <c r="I1" t="inlineStr">
        <is>
          <t>Avg Z2 HR</t>
        </is>
      </c>
      <c r="J1" t="inlineStr">
        <is>
          <t>Notes</t>
        </is>
      </c>
    </row>
    <row r="2">
      <c r="A2" t="inlineStr">
        <is>
          <t>2026-03-30</t>
        </is>
      </c>
      <c r="B2" t="n">
        <v>8.5</v>
      </c>
      <c r="C2" t="n">
        <v>3.8</v>
      </c>
      <c r="D2" t="n">
        <v>29.2</v>
      </c>
      <c r="E2" t="n">
        <v>2.8</v>
      </c>
      <c r="F2" t="n">
        <v>0.7</v>
      </c>
      <c r="G2" t="n">
        <v>0.3</v>
      </c>
      <c r="H2" t="n">
        <v>14</v>
      </c>
      <c r="I2" t="n">
        <v>147</v>
      </c>
      <c r="J2" t="inlineStr">
        <is>
          <t>deadline week; only easy jogs</t>
        </is>
      </c>
    </row>
    <row r="3">
      <c r="A3" t="inlineStr">
        <is>
          <t>2026-04-06</t>
        </is>
      </c>
      <c r="B3" t="n">
        <v>9</v>
      </c>
      <c r="C3" t="n">
        <v>9.300000000000001</v>
      </c>
      <c r="D3" t="n">
        <v>68.3</v>
      </c>
      <c r="E3" t="n">
        <v>6.9</v>
      </c>
      <c r="F3" t="n">
        <v>1.7</v>
      </c>
      <c r="G3" t="n">
        <v>0.7</v>
      </c>
      <c r="H3" t="n">
        <v>14.6</v>
      </c>
      <c r="I3" t="n">
        <v>146</v>
      </c>
      <c r="J3" t="inlineStr"/>
    </row>
    <row r="4">
      <c r="A4" t="inlineStr">
        <is>
          <t>2026-04-13</t>
        </is>
      </c>
      <c r="B4" t="n">
        <v>8.5</v>
      </c>
      <c r="C4" t="n">
        <v>8.300000000000001</v>
      </c>
      <c r="D4" t="n">
        <v>60.9</v>
      </c>
      <c r="E4" t="n">
        <v>6.2</v>
      </c>
      <c r="F4" t="n">
        <v>1.5</v>
      </c>
      <c r="G4" t="n">
        <v>0.6</v>
      </c>
      <c r="H4" t="n">
        <v>15.2</v>
      </c>
      <c r="I4" t="n">
        <v>145</v>
      </c>
      <c r="J4" t="inlineStr"/>
    </row>
    <row r="5">
      <c r="A5" t="inlineStr">
        <is>
          <t>2026-04-20</t>
        </is>
      </c>
      <c r="B5" t="n">
        <v>6.5</v>
      </c>
      <c r="C5" t="n">
        <v>5.7</v>
      </c>
      <c r="D5" t="n">
        <v>41.5</v>
      </c>
      <c r="E5" t="n">
        <v>4.3</v>
      </c>
      <c r="F5" t="n">
        <v>1</v>
      </c>
      <c r="G5" t="n">
        <v>0.4</v>
      </c>
      <c r="H5" t="n">
        <v>15.8</v>
      </c>
      <c r="I5" t="n">
        <v>140</v>
      </c>
      <c r="J5" t="inlineStr"/>
    </row>
    <row r="6">
      <c r="A6" t="inlineStr">
        <is>
          <t>2026-04-27</t>
        </is>
      </c>
      <c r="B6" t="n">
        <v>9</v>
      </c>
      <c r="C6" t="n">
        <v>7.7</v>
      </c>
      <c r="D6" t="n">
        <v>58.5</v>
      </c>
      <c r="E6" t="n">
        <v>5.8</v>
      </c>
      <c r="F6" t="n">
        <v>1.4</v>
      </c>
      <c r="G6" t="n">
        <v>0.5</v>
      </c>
      <c r="H6" t="n">
        <v>16.4</v>
      </c>
      <c r="I6" t="n">
        <v>142</v>
      </c>
      <c r="J6" t="inlineStr">
        <is>
          <t>first tempo felt good: 3x10 min</t>
        </is>
      </c>
    </row>
    <row r="7">
      <c r="A7" t="inlineStr">
        <is>
          <t>2026-05-04</t>
        </is>
      </c>
      <c r="B7" t="n">
        <v>8.5</v>
      </c>
      <c r="C7" t="n">
        <v>8</v>
      </c>
      <c r="D7" t="n">
        <v>62.3</v>
      </c>
      <c r="E7" t="n">
        <v>6</v>
      </c>
      <c r="F7" t="n">
        <v>1.4</v>
      </c>
      <c r="G7" t="n">
        <v>0.6</v>
      </c>
      <c r="H7" t="n">
        <v>17</v>
      </c>
      <c r="I7" t="n">
        <v>142</v>
      </c>
      <c r="J7" t="inlineStr">
        <is>
          <t>NeurIPS week, bike only</t>
        </is>
      </c>
    </row>
    <row r="8">
      <c r="A8" t="inlineStr">
        <is>
          <t>2026-05-11</t>
        </is>
      </c>
      <c r="B8" t="n">
        <v>8.5</v>
      </c>
      <c r="C8" t="n">
        <v>8.1</v>
      </c>
      <c r="D8" t="n">
        <v>58.7</v>
      </c>
      <c r="E8" t="n">
        <v>6</v>
      </c>
      <c r="F8" t="n">
        <v>1.5</v>
      </c>
      <c r="G8" t="n">
        <v>0.6</v>
      </c>
      <c r="H8" t="n">
        <v>17.6</v>
      </c>
      <c r="I8" t="n">
        <v>142</v>
      </c>
      <c r="J8" t="inlineStr"/>
    </row>
    <row r="9">
      <c r="A9" t="inlineStr">
        <is>
          <t>2026-05-18</t>
        </is>
      </c>
      <c r="B9" t="n">
        <v>7</v>
      </c>
      <c r="C9" t="n">
        <v>6.9</v>
      </c>
      <c r="D9" t="n">
        <v>51.5</v>
      </c>
      <c r="E9" t="n">
        <v>5.2</v>
      </c>
      <c r="F9" t="n">
        <v>1.2</v>
      </c>
      <c r="G9" t="n">
        <v>0.5</v>
      </c>
      <c r="H9" t="n">
        <v>18.2</v>
      </c>
      <c r="I9" t="n">
        <v>144</v>
      </c>
      <c r="J9" t="inlineStr"/>
    </row>
    <row r="10">
      <c r="A10" t="inlineStr">
        <is>
          <t>2026-05-25</t>
        </is>
      </c>
      <c r="B10" t="n">
        <v>8.5</v>
      </c>
      <c r="C10" t="n">
        <v>8.5</v>
      </c>
      <c r="D10" t="n">
        <v>66.7</v>
      </c>
      <c r="E10" t="n">
        <v>6.4</v>
      </c>
      <c r="F10" t="n">
        <v>1.5</v>
      </c>
      <c r="G10" t="n">
        <v>0.6</v>
      </c>
      <c r="H10" t="n">
        <v>18.8</v>
      </c>
      <c r="I10" t="n">
        <v>144</v>
      </c>
      <c r="J10" t="inlineStr"/>
    </row>
    <row r="11">
      <c r="A11" t="inlineStr">
        <is>
          <t>2026-06-01</t>
        </is>
      </c>
      <c r="B11" t="n">
        <v>8.5</v>
      </c>
      <c r="C11" t="n">
        <v>8.300000000000001</v>
      </c>
      <c r="D11" t="n">
        <v>60.6</v>
      </c>
      <c r="E11" t="n">
        <v>6.2</v>
      </c>
      <c r="F11" t="n">
        <v>1.5</v>
      </c>
      <c r="G11" t="n">
        <v>0.6</v>
      </c>
      <c r="H11" t="n">
        <v>19.4</v>
      </c>
      <c r="I11" t="n">
        <v>140</v>
      </c>
      <c r="J11" t="inlineStr"/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MAX(H2:H11)</f>
        <v/>
      </c>
      <c r="I12">
        <f>AVERAGE(I2:I11)</f>
        <v/>
      </c>
      <c r="J12" t="inlineStr">
        <is>
          <t>base + tempo every 10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7" customWidth="1" min="9" max="9"/>
    <col width="38" customWidth="1" min="10" max="10"/>
  </cols>
  <sheetData>
    <row r="1">
      <c r="A1" t="inlineStr">
        <is>
          <t>Week of</t>
        </is>
      </c>
      <c r="B1" t="inlineStr">
        <is>
          <t>Planned h</t>
        </is>
      </c>
      <c r="C1" t="inlineStr">
        <is>
          <t>Actual h</t>
        </is>
      </c>
      <c r="D1" t="inlineStr">
        <is>
          <t>Run km</t>
        </is>
      </c>
      <c r="E1" t="inlineStr">
        <is>
          <t>Z2 run h</t>
        </is>
      </c>
      <c r="F1" t="inlineStr">
        <is>
          <t>Bike h</t>
        </is>
      </c>
      <c r="G1" t="inlineStr">
        <is>
          <t>Elliptical h</t>
        </is>
      </c>
      <c r="H1" t="inlineStr">
        <is>
          <t>Long run km</t>
        </is>
      </c>
      <c r="I1" t="inlineStr">
        <is>
          <t>Avg Z2 HR</t>
        </is>
      </c>
      <c r="J1" t="inlineStr">
        <is>
          <t>Notes</t>
        </is>
      </c>
    </row>
    <row r="2">
      <c r="A2" t="inlineStr">
        <is>
          <t>2026-06-08</t>
        </is>
      </c>
      <c r="B2" t="n">
        <v>9</v>
      </c>
      <c r="C2" t="n">
        <v>8.300000000000001</v>
      </c>
      <c r="D2" t="n">
        <v>49.6</v>
      </c>
      <c r="E2" t="n">
        <v>4.8</v>
      </c>
      <c r="F2" t="n">
        <v>2.9</v>
      </c>
      <c r="G2" t="n">
        <v>0.6</v>
      </c>
      <c r="H2" t="n">
        <v>14</v>
      </c>
      <c r="I2" t="n">
        <v>143</v>
      </c>
      <c r="J2" t="inlineStr"/>
    </row>
    <row r="3">
      <c r="A3" t="inlineStr">
        <is>
          <t>2026-06-15</t>
        </is>
      </c>
      <c r="B3" t="n">
        <v>9.5</v>
      </c>
      <c r="C3" t="n">
        <v>9.4</v>
      </c>
      <c r="D3" t="n">
        <v>52.5</v>
      </c>
      <c r="E3" t="n">
        <v>5.4</v>
      </c>
      <c r="F3" t="n">
        <v>3.3</v>
      </c>
      <c r="G3" t="n">
        <v>0.7</v>
      </c>
      <c r="H3" t="n">
        <v>14.6</v>
      </c>
      <c r="I3" t="n">
        <v>145</v>
      </c>
      <c r="J3" t="inlineStr">
        <is>
          <t>rebuttal week, short runs</t>
        </is>
      </c>
    </row>
    <row r="4">
      <c r="A4" t="inlineStr">
        <is>
          <t>2026-06-22</t>
        </is>
      </c>
      <c r="B4" t="n">
        <v>9</v>
      </c>
      <c r="C4" t="n">
        <v>7.9</v>
      </c>
      <c r="D4" t="n">
        <v>44.3</v>
      </c>
      <c r="E4" t="n">
        <v>4.5</v>
      </c>
      <c r="F4" t="n">
        <v>2.8</v>
      </c>
      <c r="G4" t="n">
        <v>0.6</v>
      </c>
      <c r="H4" t="n">
        <v>15.2</v>
      </c>
      <c r="I4" t="n">
        <v>147</v>
      </c>
      <c r="J4" t="inlineStr"/>
    </row>
    <row r="5">
      <c r="A5" t="inlineStr">
        <is>
          <t>2026-06-29</t>
        </is>
      </c>
      <c r="B5" t="n">
        <v>7</v>
      </c>
      <c r="C5" t="n">
        <v>6.7</v>
      </c>
      <c r="D5" t="n">
        <v>38.6</v>
      </c>
      <c r="E5" t="n">
        <v>3.9</v>
      </c>
      <c r="F5" t="n">
        <v>2.3</v>
      </c>
      <c r="G5" t="n">
        <v>0.5</v>
      </c>
      <c r="H5" t="n">
        <v>15.8</v>
      </c>
      <c r="I5" t="n">
        <v>144</v>
      </c>
      <c r="J5" t="inlineStr">
        <is>
          <t>down week</t>
        </is>
      </c>
    </row>
    <row r="6">
      <c r="A6" t="inlineStr">
        <is>
          <t>2026-07-06</t>
        </is>
      </c>
      <c r="B6" t="n">
        <v>9.5</v>
      </c>
      <c r="C6" t="n">
        <v>8.6</v>
      </c>
      <c r="D6" t="n">
        <v>48.9</v>
      </c>
      <c r="E6" t="n">
        <v>5</v>
      </c>
      <c r="F6" t="n">
        <v>3</v>
      </c>
      <c r="G6" t="n">
        <v>0.6</v>
      </c>
      <c r="H6" t="n">
        <v>16.4</v>
      </c>
      <c r="I6" t="n">
        <v>144</v>
      </c>
      <c r="J6" t="inlineStr"/>
    </row>
    <row r="7">
      <c r="A7" t="inlineStr">
        <is>
          <t>2026-07-13</t>
        </is>
      </c>
      <c r="B7" t="n">
        <v>9</v>
      </c>
      <c r="C7" t="n">
        <v>7.7</v>
      </c>
      <c r="D7" t="n">
        <v>43.8</v>
      </c>
      <c r="E7" t="n">
        <v>4.5</v>
      </c>
      <c r="F7" t="n">
        <v>2.7</v>
      </c>
      <c r="G7" t="n">
        <v>0.5</v>
      </c>
      <c r="H7" t="n">
        <v>17</v>
      </c>
      <c r="I7" t="n">
        <v>147</v>
      </c>
      <c r="J7" t="inlineStr"/>
    </row>
    <row r="8">
      <c r="A8" t="inlineStr">
        <is>
          <t>2026-07-20</t>
        </is>
      </c>
      <c r="B8" t="n">
        <v>9</v>
      </c>
      <c r="C8" t="n">
        <v>8.5</v>
      </c>
      <c r="D8" t="n">
        <v>47.2</v>
      </c>
      <c r="E8" t="n">
        <v>4.9</v>
      </c>
      <c r="F8" t="n">
        <v>3</v>
      </c>
      <c r="G8" t="n">
        <v>0.6</v>
      </c>
      <c r="H8" t="n">
        <v>17.6</v>
      </c>
      <c r="I8" t="n">
        <v>144</v>
      </c>
      <c r="J8" t="inlineStr"/>
    </row>
    <row r="9">
      <c r="A9" t="inlineStr">
        <is>
          <t>2026-07-27</t>
        </is>
      </c>
      <c r="B9" t="n">
        <v>7.5</v>
      </c>
      <c r="C9" t="n">
        <v>7.4</v>
      </c>
      <c r="D9" t="n">
        <v>42.7</v>
      </c>
      <c r="E9" t="n">
        <v>4.3</v>
      </c>
      <c r="F9" t="n">
        <v>2.6</v>
      </c>
      <c r="G9" t="n">
        <v>0.5</v>
      </c>
      <c r="H9" t="n">
        <v>18.2</v>
      </c>
      <c r="I9" t="n">
        <v>143</v>
      </c>
      <c r="J9" t="inlineStr">
        <is>
          <t>hot; ran at 6 am</t>
        </is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MAX(H2:H9)</f>
        <v/>
      </c>
      <c r="I10">
        <f>AVERAGE(I2:I9)</f>
        <v/>
      </c>
      <c r="J10" t="inlineStr">
        <is>
          <t>volume, bike commute replaces 2 runs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36" customWidth="1" min="10" max="10"/>
  </cols>
  <sheetData>
    <row r="1">
      <c r="A1" t="inlineStr">
        <is>
          <t>Week of</t>
        </is>
      </c>
      <c r="B1" t="inlineStr">
        <is>
          <t>Planned h</t>
        </is>
      </c>
      <c r="C1" t="inlineStr">
        <is>
          <t>Actual h</t>
        </is>
      </c>
      <c r="D1" t="inlineStr">
        <is>
          <t>Run km</t>
        </is>
      </c>
      <c r="E1" t="inlineStr">
        <is>
          <t>Z2 run h</t>
        </is>
      </c>
      <c r="F1" t="inlineStr">
        <is>
          <t>Bike h</t>
        </is>
      </c>
      <c r="G1" t="inlineStr">
        <is>
          <t>Elliptical h</t>
        </is>
      </c>
      <c r="H1" t="inlineStr">
        <is>
          <t>Long run km</t>
        </is>
      </c>
      <c r="I1" t="inlineStr">
        <is>
          <t>Avg Z2 HR</t>
        </is>
      </c>
      <c r="J1" t="inlineStr">
        <is>
          <t>Notes</t>
        </is>
      </c>
    </row>
    <row r="2">
      <c r="A2" t="inlineStr">
        <is>
          <t>2026-08-03</t>
        </is>
      </c>
      <c r="B2" t="n">
        <v>10</v>
      </c>
      <c r="C2" t="n">
        <v>4.5</v>
      </c>
      <c r="D2" t="n">
        <v>35.1</v>
      </c>
      <c r="E2" t="n">
        <v>3.4</v>
      </c>
      <c r="F2" t="n">
        <v>0.8</v>
      </c>
      <c r="G2" t="n">
        <v>0.3</v>
      </c>
      <c r="H2" t="n">
        <v>14</v>
      </c>
      <c r="I2" t="n">
        <v>145</v>
      </c>
      <c r="J2" t="inlineStr">
        <is>
          <t>moving, almost nothing</t>
        </is>
      </c>
    </row>
    <row r="3">
      <c r="A3" t="inlineStr">
        <is>
          <t>2026-08-10</t>
        </is>
      </c>
      <c r="B3" t="n">
        <v>10.5</v>
      </c>
      <c r="C3" t="n">
        <v>9.800000000000001</v>
      </c>
      <c r="D3" t="n">
        <v>73.8</v>
      </c>
      <c r="E3" t="n">
        <v>7.3</v>
      </c>
      <c r="F3" t="n">
        <v>1.8</v>
      </c>
      <c r="G3" t="n">
        <v>0.7</v>
      </c>
      <c r="H3" t="n">
        <v>15.2</v>
      </c>
      <c r="I3" t="n">
        <v>142</v>
      </c>
      <c r="J3" t="inlineStr">
        <is>
          <t>first SF runs: hills everywhere</t>
        </is>
      </c>
    </row>
    <row r="4">
      <c r="A4" t="inlineStr">
        <is>
          <t>2026-08-17</t>
        </is>
      </c>
      <c r="B4" t="n">
        <v>10</v>
      </c>
      <c r="C4" t="n">
        <v>9.800000000000001</v>
      </c>
      <c r="D4" t="n">
        <v>77.09999999999999</v>
      </c>
      <c r="E4" t="n">
        <v>7.3</v>
      </c>
      <c r="F4" t="n">
        <v>1.8</v>
      </c>
      <c r="G4" t="n">
        <v>0.7</v>
      </c>
      <c r="H4" t="n">
        <v>16.4</v>
      </c>
      <c r="I4" t="n">
        <v>146</v>
      </c>
      <c r="J4" t="inlineStr"/>
    </row>
    <row r="5">
      <c r="A5" t="inlineStr">
        <is>
          <t>2026-08-24</t>
        </is>
      </c>
      <c r="B5" t="n">
        <v>8</v>
      </c>
      <c r="C5" t="n">
        <v>7.8</v>
      </c>
      <c r="D5" t="n">
        <v>58.8</v>
      </c>
      <c r="E5" t="n">
        <v>5.9</v>
      </c>
      <c r="F5" t="n">
        <v>1.4</v>
      </c>
      <c r="G5" t="n">
        <v>0.5</v>
      </c>
      <c r="H5" t="n">
        <v>17.6</v>
      </c>
      <c r="I5" t="n">
        <v>140</v>
      </c>
      <c r="J5" t="inlineStr"/>
    </row>
    <row r="6">
      <c r="A6" t="inlineStr">
        <is>
          <t>2026-08-31</t>
        </is>
      </c>
      <c r="B6" t="n">
        <v>10.5</v>
      </c>
      <c r="C6" t="n">
        <v>10.1</v>
      </c>
      <c r="D6" t="n">
        <v>74.2</v>
      </c>
      <c r="E6" t="n">
        <v>7.6</v>
      </c>
      <c r="F6" t="n">
        <v>1.8</v>
      </c>
      <c r="G6" t="n">
        <v>0.7</v>
      </c>
      <c r="H6" t="n">
        <v>18.8</v>
      </c>
      <c r="I6" t="n">
        <v>142</v>
      </c>
      <c r="J6" t="inlineStr">
        <is>
          <t>long run 26 km Golden Gate Park</t>
        </is>
      </c>
    </row>
    <row r="7">
      <c r="A7" t="inlineStr">
        <is>
          <t>2026-09-07</t>
        </is>
      </c>
      <c r="B7" t="n">
        <v>10</v>
      </c>
      <c r="C7" t="n">
        <v>8.6</v>
      </c>
      <c r="D7" t="n">
        <v>63</v>
      </c>
      <c r="E7" t="n">
        <v>6.5</v>
      </c>
      <c r="F7" t="n">
        <v>1.5</v>
      </c>
      <c r="G7" t="n">
        <v>0.6</v>
      </c>
      <c r="H7" t="n">
        <v>20</v>
      </c>
      <c r="I7" t="n">
        <v>143</v>
      </c>
      <c r="J7" t="inlineStr"/>
    </row>
    <row r="8">
      <c r="A8" t="inlineStr">
        <is>
          <t>2026-09-14</t>
        </is>
      </c>
      <c r="B8" t="n">
        <v>10</v>
      </c>
      <c r="C8" t="n">
        <v>9.300000000000001</v>
      </c>
      <c r="D8" t="n">
        <v>69</v>
      </c>
      <c r="E8" t="n">
        <v>6.9</v>
      </c>
      <c r="F8" t="n">
        <v>1.7</v>
      </c>
      <c r="G8" t="n">
        <v>0.7</v>
      </c>
      <c r="H8" t="n">
        <v>21.2</v>
      </c>
      <c r="I8" t="n">
        <v>141</v>
      </c>
      <c r="J8" t="inlineStr">
        <is>
          <t>workout: 3x3 km @ HM pace</t>
        </is>
      </c>
    </row>
    <row r="9">
      <c r="A9" t="inlineStr">
        <is>
          <t>2026-09-21</t>
        </is>
      </c>
      <c r="B9" t="n">
        <v>8.5</v>
      </c>
      <c r="C9" t="n">
        <v>8.699999999999999</v>
      </c>
      <c r="D9" t="n">
        <v>65</v>
      </c>
      <c r="E9" t="n">
        <v>6.5</v>
      </c>
      <c r="F9" t="n">
        <v>1.6</v>
      </c>
      <c r="G9" t="n">
        <v>0.6</v>
      </c>
      <c r="H9" t="n">
        <v>22.4</v>
      </c>
      <c r="I9" t="n">
        <v>143</v>
      </c>
      <c r="J9" t="inlineStr"/>
    </row>
    <row r="10">
      <c r="A10" t="inlineStr">
        <is>
          <t>2026-09-28</t>
        </is>
      </c>
      <c r="B10" t="n">
        <v>10</v>
      </c>
      <c r="C10" t="n">
        <v>10.1</v>
      </c>
      <c r="D10" t="n">
        <v>76.8</v>
      </c>
      <c r="E10" t="n">
        <v>7.6</v>
      </c>
      <c r="F10" t="n">
        <v>1.8</v>
      </c>
      <c r="G10" t="n">
        <v>0.7</v>
      </c>
      <c r="H10" t="n">
        <v>23.6</v>
      </c>
      <c r="I10" t="n">
        <v>143</v>
      </c>
      <c r="J10" t="inlineStr">
        <is>
          <t>tune-up 10k 36:58</t>
        </is>
      </c>
    </row>
    <row r="11">
      <c r="A11" t="inlineStr">
        <is>
          <t>2026-10-05</t>
        </is>
      </c>
      <c r="B11" t="n">
        <v>10</v>
      </c>
      <c r="C11" t="n">
        <v>9.699999999999999</v>
      </c>
      <c r="D11" t="n">
        <v>73.40000000000001</v>
      </c>
      <c r="E11" t="n">
        <v>7.3</v>
      </c>
      <c r="F11" t="n">
        <v>1.7</v>
      </c>
      <c r="G11" t="n">
        <v>0.7</v>
      </c>
      <c r="H11" t="n">
        <v>24.8</v>
      </c>
      <c r="I11" t="n">
        <v>142</v>
      </c>
      <c r="J11" t="inlineStr">
        <is>
          <t>UIST trip, treadmill in hotel</t>
        </is>
      </c>
    </row>
    <row r="12">
      <c r="A12" t="inlineStr">
        <is>
          <t>2026-10-12</t>
        </is>
      </c>
      <c r="B12" t="n">
        <v>10.5</v>
      </c>
      <c r="C12" t="n">
        <v>10.8</v>
      </c>
      <c r="D12" t="n">
        <v>79.09999999999999</v>
      </c>
      <c r="E12" t="n">
        <v>8.1</v>
      </c>
      <c r="F12" t="n">
        <v>1.9</v>
      </c>
      <c r="G12" t="n">
        <v>0.8</v>
      </c>
      <c r="H12" t="n">
        <v>26</v>
      </c>
      <c r="I12" t="n">
        <v>143</v>
      </c>
      <c r="J12" t="inlineStr">
        <is>
          <t>taper; RACE Thu 10/15 1:24:51</t>
        </is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MAX(H2:H12)</f>
        <v/>
      </c>
      <c r="I13">
        <f>AVERAGE(I2:I12)</f>
        <v/>
      </c>
      <c r="J13" t="inlineStr">
        <is>
          <t>half marathon specific, race 10/15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9" customWidth="1" min="4" max="4"/>
    <col width="44" customWidth="1" min="5" max="5"/>
    <col width="9" customWidth="1" min="6" max="6"/>
    <col width="29" customWidth="1" min="7" max="7"/>
  </cols>
  <sheetData>
    <row r="1">
      <c r="A1" t="inlineStr">
        <is>
          <t>Date</t>
        </is>
      </c>
      <c r="B1" t="inlineStr">
        <is>
          <t>Race</t>
        </is>
      </c>
      <c r="C1" t="inlineStr">
        <is>
          <t>Distance</t>
        </is>
      </c>
      <c r="D1" t="inlineStr">
        <is>
          <t>Time</t>
        </is>
      </c>
      <c r="E1" t="inlineStr">
        <is>
          <t>Pace /km</t>
        </is>
      </c>
      <c r="F1" t="inlineStr">
        <is>
          <t>Place</t>
        </is>
      </c>
      <c r="G1" t="inlineStr">
        <is>
          <t>Notes</t>
        </is>
      </c>
    </row>
    <row r="2">
      <c r="A2" t="inlineStr">
        <is>
          <t>2025-11-27</t>
        </is>
      </c>
      <c r="B2" t="inlineStr">
        <is>
          <t>Turkey trot (Blacksburg)</t>
        </is>
      </c>
      <c r="C2" t="inlineStr">
        <is>
          <t>5 km</t>
        </is>
      </c>
      <c r="D2" t="inlineStr">
        <is>
          <t>17:41</t>
        </is>
      </c>
      <c r="E2">
        <f>TEXT(TIMEVALUE("0:17:41")/5,"m:ss")</f>
        <v/>
      </c>
      <c r="F2" t="inlineStr">
        <is>
          <t>4th</t>
        </is>
      </c>
      <c r="G2" t="inlineStr">
        <is>
          <t>with Owen</t>
        </is>
      </c>
    </row>
    <row r="3">
      <c r="A3" t="inlineStr">
        <is>
          <t>2026-04-18</t>
        </is>
      </c>
      <c r="B3" t="inlineStr">
        <is>
          <t>Spring 10k (Roanoke)</t>
        </is>
      </c>
      <c r="C3" t="inlineStr">
        <is>
          <t>10 km</t>
        </is>
      </c>
      <c r="D3" t="inlineStr">
        <is>
          <t>37:20</t>
        </is>
      </c>
      <c r="E3">
        <f>TEXT(TIMEVALUE("0:37:20")/10,"m:ss")</f>
        <v/>
      </c>
      <c r="F3" t="inlineStr">
        <is>
          <t>9th</t>
        </is>
      </c>
      <c r="G3" t="inlineStr">
        <is>
          <t>right after UIST; flat legs</t>
        </is>
      </c>
    </row>
    <row r="4">
      <c r="A4" t="inlineStr">
        <is>
          <t>2026-09-26</t>
        </is>
      </c>
      <c r="B4" t="inlineStr">
        <is>
          <t>Tune-up 10k (SF)</t>
        </is>
      </c>
      <c r="C4" t="inlineStr">
        <is>
          <t>10 km</t>
        </is>
      </c>
      <c r="D4" t="inlineStr">
        <is>
          <t>36:58</t>
        </is>
      </c>
      <c r="E4">
        <f>TEXT(TIMEVALUE("0:36:58")/10,"m:ss")</f>
        <v/>
      </c>
      <c r="F4" t="inlineStr">
        <is>
          <t>14th</t>
        </is>
      </c>
      <c r="G4" t="inlineStr"/>
    </row>
    <row r="5">
      <c r="A5" t="inlineStr">
        <is>
          <t>2026-10-15</t>
        </is>
      </c>
      <c r="B5" t="inlineStr">
        <is>
          <t>Bay Area half marathon</t>
        </is>
      </c>
      <c r="C5" t="inlineStr">
        <is>
          <t>21.1 km</t>
        </is>
      </c>
      <c r="D5" t="inlineStr">
        <is>
          <t>1:24:51</t>
        </is>
      </c>
      <c r="E5">
        <f>TEXT(TIMEVALUE("1:24:51")/21.0975,"m:ss")</f>
        <v/>
      </c>
      <c r="F5" t="inlineStr">
        <is>
          <t>61st</t>
        </is>
      </c>
      <c r="G5" t="inlineStr">
        <is>
          <t>Owen 1:22:10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Max HR (tested 2025-10)</t>
        </is>
      </c>
      <c r="B2" t="n">
        <v>194</v>
      </c>
      <c r="C2" t="inlineStr"/>
    </row>
    <row r="3">
      <c r="A3" t="inlineStr">
        <is>
          <t>Z2 ceiling (bpm)</t>
        </is>
      </c>
      <c r="B3" t="n">
        <v>148</v>
      </c>
      <c r="C3" t="inlineStr">
        <is>
          <t>Z2 = 72-76% max</t>
        </is>
      </c>
    </row>
    <row r="4">
      <c r="A4" t="inlineStr">
        <is>
          <t>Z2 floor (bpm)</t>
        </is>
      </c>
      <c r="B4" t="n">
        <v>136</v>
      </c>
      <c r="C4" t="inlineStr"/>
    </row>
    <row r="5">
      <c r="A5" t="inlineStr">
        <is>
          <t>Weekly hours target 2026</t>
        </is>
      </c>
      <c r="B5" t="inlineStr">
        <is>
          <t>8-11</t>
        </is>
      </c>
      <c r="C5" t="inlineStr"/>
    </row>
    <row r="6">
      <c r="A6" t="inlineStr">
        <is>
          <t>HM goal</t>
        </is>
      </c>
      <c r="B6" t="inlineStr">
        <is>
          <t>1:25:00</t>
        </is>
      </c>
      <c r="C6" t="inlineStr">
        <is>
          <t>beat it by 9 s</t>
        </is>
      </c>
    </row>
    <row r="7">
      <c r="A7" t="inlineStr">
        <is>
          <t>Units</t>
        </is>
      </c>
      <c r="B7" t="inlineStr">
        <is>
          <t>km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Training log 2026</dc:title>
  <dcterms:created xmlns:dcterms="http://purl.org/dc/terms/" xmlns:xsi="http://www.w3.org/2001/XMLSchema-instance" xsi:type="dcterms:W3CDTF">2026-01-05T00:30:00Z</dcterms:created>
  <dcterms:modified xmlns:dcterms="http://purl.org/dc/terms/" xmlns:xsi="http://www.w3.org/2001/XMLSchema-instance" xsi:type="dcterms:W3CDTF">2026-10-17T03:45:00Z</dcterms:modified>
  <cp:lastModifiedBy>David Barron</cp:lastModifiedBy>
</cp:coreProperties>
</file>