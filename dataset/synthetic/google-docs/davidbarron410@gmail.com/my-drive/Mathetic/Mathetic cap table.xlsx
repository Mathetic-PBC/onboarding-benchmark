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s" sheetId="1" state="visible" r:id="rId1"/>
    <sheet xmlns:r="http://schemas.openxmlformats.org/officeDocument/2006/relationships" name="SAFE notes" sheetId="2" state="visible" r:id="rId2"/>
    <sheet xmlns:r="http://schemas.openxmlformats.org/officeDocument/2006/relationships" name="Option pool" sheetId="3" state="visible" r:id="rId3"/>
    <sheet xmlns:r="http://schemas.openxmlformats.org/officeDocument/2006/relationships"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9" customWidth="1" min="3" max="3"/>
    <col width="13" customWidth="1" min="4" max="4"/>
    <col width="15" customWidth="1" min="5" max="5"/>
    <col width="9" customWidth="1" min="6" max="6"/>
    <col width="27" customWidth="1" min="7" max="7"/>
  </cols>
  <sheetData>
    <row r="1">
      <c r="A1" t="inlineStr">
        <is>
          <t>Holder</t>
        </is>
      </c>
      <c r="B1" t="inlineStr">
        <is>
          <t>Role</t>
        </is>
      </c>
      <c r="C1" t="inlineStr">
        <is>
          <t>Class</t>
        </is>
      </c>
      <c r="D1" t="inlineStr">
        <is>
          <t>Shares</t>
        </is>
      </c>
      <c r="E1" t="inlineStr">
        <is>
          <t>Vesting start</t>
        </is>
      </c>
      <c r="F1" t="inlineStr">
        <is>
          <t>Cliff</t>
        </is>
      </c>
      <c r="G1" t="inlineStr">
        <is>
          <t>Ownership (fully diluted)</t>
        </is>
      </c>
    </row>
    <row r="2">
      <c r="A2" t="inlineStr">
        <is>
          <t>David Barron</t>
        </is>
      </c>
      <c r="B2" t="inlineStr">
        <is>
          <t>Co-founder, CEO</t>
        </is>
      </c>
      <c r="C2" t="inlineStr">
        <is>
          <t>Common</t>
        </is>
      </c>
      <c r="D2" t="n">
        <v>4250000</v>
      </c>
      <c r="E2" t="inlineStr">
        <is>
          <t>2026-06-01</t>
        </is>
      </c>
      <c r="F2" t="inlineStr">
        <is>
          <t>12 mo</t>
        </is>
      </c>
      <c r="G2">
        <f>D2/Scenarios!$B$3</f>
        <v/>
      </c>
    </row>
    <row r="3">
      <c r="A3" t="inlineStr">
        <is>
          <t>Hudson Mitchell-Pullman</t>
        </is>
      </c>
      <c r="B3" t="inlineStr">
        <is>
          <t>Co-founder</t>
        </is>
      </c>
      <c r="C3" t="inlineStr">
        <is>
          <t>Common</t>
        </is>
      </c>
      <c r="D3" t="n">
        <v>4250000</v>
      </c>
      <c r="E3" t="inlineStr">
        <is>
          <t>2026-06-01</t>
        </is>
      </c>
      <c r="F3" t="inlineStr">
        <is>
          <t>12 mo</t>
        </is>
      </c>
      <c r="G3">
        <f>D3/Scenarios!$B$3</f>
        <v/>
      </c>
    </row>
    <row r="4">
      <c r="A4" t="inlineStr">
        <is>
          <t>Total founders</t>
        </is>
      </c>
      <c r="B4" t="inlineStr"/>
      <c r="C4" t="inlineStr"/>
      <c r="D4">
        <f>SUM(D2:D3)</f>
        <v/>
      </c>
      <c r="E4" t="inlineStr"/>
      <c r="F4" t="inlineStr"/>
      <c r="G4">
        <f>SUM(G2:G3)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6" customWidth="1" min="4" max="4"/>
    <col width="10" customWidth="1" min="5" max="5"/>
    <col width="40" customWidth="1" min="6" max="6"/>
    <col width="12" customWidth="1" min="7" max="7"/>
    <col width="19" customWidth="1" min="8" max="8"/>
  </cols>
  <sheetData>
    <row r="1">
      <c r="A1" t="inlineStr">
        <is>
          <t>Investor</t>
        </is>
      </c>
      <c r="B1" t="inlineStr">
        <is>
          <t>Instrument</t>
        </is>
      </c>
      <c r="C1" t="inlineStr">
        <is>
          <t>Amount</t>
        </is>
      </c>
      <c r="D1" t="inlineStr">
        <is>
          <t>Post-money cap</t>
        </is>
      </c>
      <c r="E1" t="inlineStr">
        <is>
          <t>Discount</t>
        </is>
      </c>
      <c r="F1" t="inlineStr">
        <is>
          <t>Status</t>
        </is>
      </c>
      <c r="G1" t="inlineStr">
        <is>
          <t>Date</t>
        </is>
      </c>
      <c r="H1" t="inlineStr">
        <is>
          <t>Implied ownership</t>
        </is>
      </c>
    </row>
    <row r="2">
      <c r="A2" t="inlineStr">
        <is>
          <t>Surplus (incubator)</t>
        </is>
      </c>
      <c r="B2" t="inlineStr">
        <is>
          <t>Post-money SAFE</t>
        </is>
      </c>
      <c r="C2" t="n">
        <v>100000</v>
      </c>
      <c r="D2" t="n">
        <v>8000000</v>
      </c>
      <c r="E2" t="inlineStr">
        <is>
          <t>0%</t>
        </is>
      </c>
      <c r="F2" t="inlineStr">
        <is>
          <t>signed</t>
        </is>
      </c>
      <c r="G2" t="inlineStr">
        <is>
          <t>2026-08-11</t>
        </is>
      </c>
      <c r="H2">
        <f>C2/D2</f>
        <v/>
      </c>
    </row>
    <row r="3">
      <c r="A3" t="inlineStr">
        <is>
          <t>Marcus Oyelaran (Northfield Angels)</t>
        </is>
      </c>
      <c r="B3" t="inlineStr">
        <is>
          <t>Post-money SAFE</t>
        </is>
      </c>
      <c r="C3" t="n">
        <v>50000</v>
      </c>
      <c r="D3" t="n">
        <v>8000000</v>
      </c>
      <c r="E3" t="inlineStr">
        <is>
          <t>0%</t>
        </is>
      </c>
      <c r="F3" t="inlineStr">
        <is>
          <t>verbal, contingent on pilot conversion</t>
        </is>
      </c>
      <c r="G3" t="inlineStr">
        <is>
          <t>2026-10-14</t>
        </is>
      </c>
      <c r="H3">
        <f>C3/D3</f>
        <v/>
      </c>
    </row>
    <row r="4">
      <c r="A4" t="inlineStr">
        <is>
          <t>Angel TBD</t>
        </is>
      </c>
      <c r="B4" t="inlineStr">
        <is>
          <t>Post-money SAFE</t>
        </is>
      </c>
      <c r="C4" t="n">
        <v>100000</v>
      </c>
      <c r="D4" t="n">
        <v>8000000</v>
      </c>
      <c r="E4" t="inlineStr">
        <is>
          <t>0%</t>
        </is>
      </c>
      <c r="F4" t="inlineStr">
        <is>
          <t>pipeline</t>
        </is>
      </c>
      <c r="G4" t="inlineStr"/>
      <c r="H4">
        <f>C4/D4</f>
        <v/>
      </c>
    </row>
    <row r="5">
      <c r="A5" t="inlineStr">
        <is>
          <t>Total SAFEs</t>
        </is>
      </c>
      <c r="B5" t="inlineStr"/>
      <c r="C5">
        <f>SUM(C2:C4)</f>
        <v/>
      </c>
      <c r="D5" t="inlineStr"/>
      <c r="E5" t="inlineStr"/>
      <c r="F5" t="inlineStr"/>
      <c r="G5" t="inlineStr"/>
      <c r="H5">
        <f>SUM(H2:H4)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7" customWidth="1" min="3" max="3"/>
  </cols>
  <sheetData>
    <row r="1">
      <c r="A1" t="inlineStr">
        <is>
          <t>Item</t>
        </is>
      </c>
      <c r="B1" t="inlineStr">
        <is>
          <t>Shares</t>
        </is>
      </c>
      <c r="C1" t="inlineStr">
        <is>
          <t>Note</t>
        </is>
      </c>
    </row>
    <row r="2">
      <c r="A2" t="inlineStr">
        <is>
          <t>Authorized option pool</t>
        </is>
      </c>
      <c r="B2" t="n">
        <v>1500000</v>
      </c>
      <c r="C2" t="inlineStr">
        <is>
          <t>set at incorporation</t>
        </is>
      </c>
    </row>
    <row r="3">
      <c r="A3" t="inlineStr">
        <is>
          <t>Granted</t>
        </is>
      </c>
      <c r="B3" t="n">
        <v>0</v>
      </c>
      <c r="C3" t="inlineStr">
        <is>
          <t>no hires yet</t>
        </is>
      </c>
    </row>
    <row r="4">
      <c r="A4" t="inlineStr">
        <is>
          <t>Reserved: first engineer</t>
        </is>
      </c>
      <c r="B4" t="n">
        <v>300000</v>
      </c>
      <c r="C4" t="inlineStr">
        <is>
          <t>placeholder, 1.5-2% range</t>
        </is>
      </c>
    </row>
    <row r="5">
      <c r="A5" t="inlineStr">
        <is>
          <t>Available</t>
        </is>
      </c>
      <c r="B5">
        <f>B2-B3-B4</f>
        <v/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7" customWidth="1" min="3" max="3"/>
  </cols>
  <sheetData>
    <row r="1">
      <c r="A1" t="inlineStr">
        <is>
          <t>Input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Founder + pool shares</t>
        </is>
      </c>
      <c r="B2">
        <f>Founders!D4+'Option pool'!B2</f>
        <v/>
      </c>
      <c r="C2" t="inlineStr"/>
    </row>
    <row r="3">
      <c r="A3" t="inlineStr">
        <is>
          <t>Fully diluted pre-SAFE</t>
        </is>
      </c>
      <c r="B3">
        <f>B2</f>
        <v/>
      </c>
      <c r="C3" t="inlineStr">
        <is>
          <t>used for founder %</t>
        </is>
      </c>
    </row>
    <row r="4">
      <c r="A4" t="inlineStr">
        <is>
          <t>SAFE total ($)</t>
        </is>
      </c>
      <c r="B4">
        <f>'SAFE notes'!C5</f>
        <v/>
      </c>
      <c r="C4" t="inlineStr"/>
    </row>
    <row r="5">
      <c r="A5" t="inlineStr">
        <is>
          <t>Priced round: pre-money</t>
        </is>
      </c>
      <c r="B5" t="n">
        <v>12000000</v>
      </c>
      <c r="C5" t="inlineStr">
        <is>
          <t>hypothetical seed</t>
        </is>
      </c>
    </row>
    <row r="6">
      <c r="A6" t="inlineStr">
        <is>
          <t>Priced round: raise</t>
        </is>
      </c>
      <c r="B6" t="n">
        <v>2000000</v>
      </c>
      <c r="C6" t="inlineStr"/>
    </row>
    <row r="7">
      <c r="A7" t="inlineStr">
        <is>
          <t>Post-money</t>
        </is>
      </c>
      <c r="B7">
        <f>B5+B6</f>
        <v/>
      </c>
      <c r="C7" t="inlineStr"/>
    </row>
    <row r="8">
      <c r="A8" t="inlineStr">
        <is>
          <t>SAFE ownership at conversion</t>
        </is>
      </c>
      <c r="B8">
        <f>'SAFE notes'!H5</f>
        <v/>
      </c>
      <c r="C8" t="inlineStr">
        <is>
          <t>post-money SAFE math</t>
        </is>
      </c>
    </row>
    <row r="9">
      <c r="A9" t="inlineStr">
        <is>
          <t>New investor ownership</t>
        </is>
      </c>
      <c r="B9">
        <f>B6/B7</f>
        <v/>
      </c>
      <c r="C9" t="inlineStr"/>
    </row>
    <row r="10">
      <c r="A10" t="inlineStr">
        <is>
          <t>Founders after seed (combined)</t>
        </is>
      </c>
      <c r="B10">
        <f>(1-B8)*(1-B9)*Founders!G4</f>
        <v/>
      </c>
      <c r="C10" t="inlineStr">
        <is>
          <t>rough; ignores pool top-up</t>
        </is>
      </c>
    </row>
    <row r="11">
      <c r="A11" t="inlineStr">
        <is>
          <t>Pool top-up to 10% post?</t>
        </is>
      </c>
      <c r="B11" t="inlineStr">
        <is>
          <t>TBD</t>
        </is>
      </c>
      <c r="C11" t="inlineStr">
        <is>
          <t>ask Marcus how he thinks about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Mathetic cap table</dc:title>
  <dcterms:created xmlns:dcterms="http://purl.org/dc/terms/" xmlns:xsi="http://www.w3.org/2001/XMLSchema-instance" xsi:type="dcterms:W3CDTF">2026-07-15T02:10:00Z</dcterms:created>
  <dcterms:modified xmlns:dcterms="http://purl.org/dc/terms/" xmlns:xsi="http://www.w3.org/2001/XMLSchema-instance" xsi:type="dcterms:W3CDTF">2026-10-15T07:35:00Z</dcterms:modified>
  <cp:lastModifiedBy>David Barron</cp:lastModifiedBy>
</cp:coreProperties>
</file>