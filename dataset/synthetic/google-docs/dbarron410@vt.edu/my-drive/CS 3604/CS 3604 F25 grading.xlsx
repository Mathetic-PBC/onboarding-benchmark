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" sheetId="1" state="visible" r:id="rId1"/>
    <sheet xmlns:r="http://schemas.openxmlformats.org/officeDocument/2006/relationships" name="P4" sheetId="2" state="visible" r:id="rId2"/>
    <sheet xmlns:r="http://schemas.openxmlformats.org/officeDocument/2006/relationships" name="Final" sheetId="3" state="visible" r:id="rId3"/>
    <sheet xmlns:r="http://schemas.openxmlformats.org/officeDocument/2006/relationships" name="Regrad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7" customWidth="1" min="4" max="4"/>
    <col width="15" customWidth="1" min="5" max="5"/>
    <col width="12" customWidth="1" min="6" max="6"/>
    <col width="19" customWidth="1" min="7" max="7"/>
    <col width="12" customWidth="1" min="8" max="8"/>
    <col width="11" customWidth="1" min="9" max="9"/>
    <col width="37" customWidth="1" min="10" max="10"/>
    <col width="34" customWidth="1" min="11" max="11"/>
  </cols>
  <sheetData>
    <row r="1">
      <c r="A1" t="inlineStr">
        <is>
          <t>PID</t>
        </is>
      </c>
      <c r="B1" t="inlineStr">
        <is>
          <t>Last</t>
        </is>
      </c>
      <c r="C1" t="inlineStr">
        <is>
          <t>First</t>
        </is>
      </c>
      <c r="D1" t="inlineStr">
        <is>
          <t>Data model (30)</t>
        </is>
      </c>
      <c r="E1" t="inlineStr">
        <is>
          <t>REST API (30)</t>
        </is>
      </c>
      <c r="F1" t="inlineStr">
        <is>
          <t>Tests (20)</t>
        </is>
      </c>
      <c r="G1" t="inlineStr">
        <is>
          <t>Code quality (15)</t>
        </is>
      </c>
      <c r="H1" t="inlineStr">
        <is>
          <t>README (5)</t>
        </is>
      </c>
      <c r="I1" t="inlineStr">
        <is>
          <t>Late days</t>
        </is>
      </c>
      <c r="J1" t="inlineStr">
        <is>
          <t>Total</t>
        </is>
      </c>
      <c r="K1" t="inlineStr">
        <is>
          <t>Comment</t>
        </is>
      </c>
    </row>
    <row r="2">
      <c r="A2" t="inlineStr">
        <is>
          <t>aalvar73</t>
        </is>
      </c>
      <c r="B2" t="inlineStr">
        <is>
          <t>Alvarez</t>
        </is>
      </c>
      <c r="C2" t="inlineStr">
        <is>
          <t>Anika</t>
        </is>
      </c>
      <c r="D2" t="n">
        <v>30</v>
      </c>
      <c r="E2" t="n">
        <v>30</v>
      </c>
      <c r="F2" t="n">
        <v>20</v>
      </c>
      <c r="G2" t="n">
        <v>15</v>
      </c>
      <c r="H2" t="n">
        <v>3</v>
      </c>
      <c r="I2" t="n">
        <v>0</v>
      </c>
      <c r="J2">
        <f>SUM(D2:H2)-IF(I2&gt;1,5*(I2-1),0)</f>
        <v/>
      </c>
      <c r="K2" t="inlineStr">
        <is>
          <t>hard-coded API key in config, -2</t>
        </is>
      </c>
    </row>
    <row r="3">
      <c r="A3" t="inlineStr">
        <is>
          <t>halvar44</t>
        </is>
      </c>
      <c r="B3" t="inlineStr">
        <is>
          <t>Alvarez</t>
        </is>
      </c>
      <c r="C3" t="inlineStr">
        <is>
          <t>Hana</t>
        </is>
      </c>
      <c r="D3" t="n">
        <v>29</v>
      </c>
      <c r="E3" t="n">
        <v>30</v>
      </c>
      <c r="F3" t="n">
        <v>20</v>
      </c>
      <c r="G3" t="n">
        <v>13</v>
      </c>
      <c r="H3" t="n">
        <v>5</v>
      </c>
      <c r="I3" t="n">
        <v>0</v>
      </c>
      <c r="J3">
        <f>SUM(D3:H3)-IF(I3&gt;1,5*(I3-1),0)</f>
        <v/>
      </c>
      <c r="K3" t="inlineStr">
        <is>
          <t>README missing run instructions</t>
        </is>
      </c>
    </row>
    <row r="4">
      <c r="A4" t="inlineStr">
        <is>
          <t>ebarne26</t>
        </is>
      </c>
      <c r="B4" t="inlineStr">
        <is>
          <t>Barnes</t>
        </is>
      </c>
      <c r="C4" t="inlineStr">
        <is>
          <t>Ellie</t>
        </is>
      </c>
      <c r="D4" t="n">
        <v>30</v>
      </c>
      <c r="E4" t="n">
        <v>27</v>
      </c>
      <c r="F4" t="n">
        <v>14</v>
      </c>
      <c r="G4" t="n">
        <v>15</v>
      </c>
      <c r="H4" t="n">
        <v>4</v>
      </c>
      <c r="I4" t="n">
        <v>0</v>
      </c>
      <c r="J4">
        <f>SUM(D4:H4)-IF(I4&gt;1,5*(I4-1),0)</f>
        <v/>
      </c>
      <c r="K4" t="inlineStr"/>
    </row>
    <row r="5">
      <c r="A5" t="inlineStr">
        <is>
          <t>lbarne46</t>
        </is>
      </c>
      <c r="B5" t="inlineStr">
        <is>
          <t>Barnes</t>
        </is>
      </c>
      <c r="C5" t="inlineStr">
        <is>
          <t>Lucas</t>
        </is>
      </c>
      <c r="D5" t="n">
        <v>29</v>
      </c>
      <c r="E5" t="n">
        <v>20</v>
      </c>
      <c r="F5" t="n">
        <v>20</v>
      </c>
      <c r="G5" t="n">
        <v>14</v>
      </c>
      <c r="H5" t="n">
        <v>5</v>
      </c>
      <c r="I5" t="n">
        <v>0</v>
      </c>
      <c r="J5">
        <f>SUM(D5:H5)-IF(I5&gt;1,5*(I5-1),0)</f>
        <v/>
      </c>
      <c r="K5" t="inlineStr"/>
    </row>
    <row r="6">
      <c r="A6" t="inlineStr">
        <is>
          <t>vbarne79</t>
        </is>
      </c>
      <c r="B6" t="inlineStr">
        <is>
          <t>Barnes</t>
        </is>
      </c>
      <c r="C6" t="inlineStr">
        <is>
          <t>Victor</t>
        </is>
      </c>
      <c r="D6" t="n">
        <v>27</v>
      </c>
      <c r="E6" t="n">
        <v>30</v>
      </c>
      <c r="F6" t="n">
        <v>19</v>
      </c>
      <c r="G6" t="n">
        <v>14</v>
      </c>
      <c r="H6" t="n">
        <v>5</v>
      </c>
      <c r="I6" t="n">
        <v>2</v>
      </c>
      <c r="J6">
        <f>SUM(D6:H6)-IF(I6&gt;1,5*(I6-1),0)</f>
        <v/>
      </c>
      <c r="K6" t="inlineStr"/>
    </row>
    <row r="7">
      <c r="A7" t="inlineStr">
        <is>
          <t>jbenne73</t>
        </is>
      </c>
      <c r="B7" t="inlineStr">
        <is>
          <t>Bennett</t>
        </is>
      </c>
      <c r="C7" t="inlineStr">
        <is>
          <t>Jacob</t>
        </is>
      </c>
      <c r="D7" t="n">
        <v>30</v>
      </c>
      <c r="E7" t="n">
        <v>28</v>
      </c>
      <c r="F7" t="n">
        <v>20</v>
      </c>
      <c r="G7" t="n">
        <v>14</v>
      </c>
      <c r="H7" t="n">
        <v>5</v>
      </c>
      <c r="I7" t="n">
        <v>0</v>
      </c>
      <c r="J7">
        <f>SUM(D7:H7)-IF(I7&gt;1,5*(I7-1),0)</f>
        <v/>
      </c>
      <c r="K7" t="inlineStr"/>
    </row>
    <row r="8">
      <c r="A8" t="inlineStr">
        <is>
          <t>ecasti77</t>
        </is>
      </c>
      <c r="B8" t="inlineStr">
        <is>
          <t>Castillo</t>
        </is>
      </c>
      <c r="C8" t="inlineStr">
        <is>
          <t>Ethan</t>
        </is>
      </c>
      <c r="D8" t="n">
        <v>30</v>
      </c>
      <c r="E8" t="n">
        <v>29</v>
      </c>
      <c r="F8" t="n">
        <v>14</v>
      </c>
      <c r="G8" t="n">
        <v>14</v>
      </c>
      <c r="H8" t="n">
        <v>3</v>
      </c>
      <c r="I8" t="n">
        <v>0</v>
      </c>
      <c r="J8">
        <f>SUM(D8:H8)-IF(I8&gt;1,5*(I8-1),0)</f>
        <v/>
      </c>
      <c r="K8" t="inlineStr"/>
    </row>
    <row r="9">
      <c r="A9" t="inlineStr">
        <is>
          <t>gcasti55</t>
        </is>
      </c>
      <c r="B9" t="inlineStr">
        <is>
          <t>Castillo</t>
        </is>
      </c>
      <c r="C9" t="inlineStr">
        <is>
          <t>Grace</t>
        </is>
      </c>
      <c r="D9" t="n">
        <v>30</v>
      </c>
      <c r="E9" t="n">
        <v>30</v>
      </c>
      <c r="F9" t="n">
        <v>19</v>
      </c>
      <c r="G9" t="n">
        <v>15</v>
      </c>
      <c r="H9" t="n">
        <v>5</v>
      </c>
      <c r="I9" t="n">
        <v>0</v>
      </c>
      <c r="J9">
        <f>SUM(D9:H9)-IF(I9&gt;1,5*(I9-1),0)</f>
        <v/>
      </c>
      <c r="K9" t="inlineStr"/>
    </row>
    <row r="10">
      <c r="A10" t="inlineStr">
        <is>
          <t>lcasti27</t>
        </is>
      </c>
      <c r="B10" t="inlineStr">
        <is>
          <t>Castillo</t>
        </is>
      </c>
      <c r="C10" t="inlineStr">
        <is>
          <t>Leah</t>
        </is>
      </c>
      <c r="D10" t="n">
        <v>29</v>
      </c>
      <c r="E10" t="n">
        <v>27</v>
      </c>
      <c r="F10" t="n">
        <v>19</v>
      </c>
      <c r="G10" t="n">
        <v>13</v>
      </c>
      <c r="H10" t="n">
        <v>5</v>
      </c>
      <c r="I10" t="n">
        <v>0</v>
      </c>
      <c r="J10">
        <f>SUM(D10:H10)-IF(I10&gt;1,5*(I10-1),0)</f>
        <v/>
      </c>
      <c r="K10" t="inlineStr"/>
    </row>
    <row r="11">
      <c r="A11" t="inlineStr">
        <is>
          <t>rchowd60</t>
        </is>
      </c>
      <c r="B11" t="inlineStr">
        <is>
          <t>Chowdhury</t>
        </is>
      </c>
      <c r="C11" t="inlineStr">
        <is>
          <t>Rosa</t>
        </is>
      </c>
      <c r="D11" t="n">
        <v>29</v>
      </c>
      <c r="E11" t="n">
        <v>29</v>
      </c>
      <c r="F11" t="n">
        <v>20</v>
      </c>
      <c r="G11" t="n">
        <v>15</v>
      </c>
      <c r="H11" t="n">
        <v>5</v>
      </c>
      <c r="I11" t="n">
        <v>0</v>
      </c>
      <c r="J11">
        <f>SUM(D11:H11)-IF(I11&gt;1,5*(I11-1),0)</f>
        <v/>
      </c>
      <c r="K11" t="inlineStr"/>
    </row>
    <row r="12">
      <c r="A12" t="inlineStr">
        <is>
          <t>cdawso9</t>
        </is>
      </c>
      <c r="B12" t="inlineStr">
        <is>
          <t>Dawson</t>
        </is>
      </c>
      <c r="C12" t="inlineStr">
        <is>
          <t>Chloe</t>
        </is>
      </c>
      <c r="D12" t="n">
        <v>28</v>
      </c>
      <c r="E12" t="n">
        <v>29</v>
      </c>
      <c r="F12" t="n">
        <v>20</v>
      </c>
      <c r="G12" t="n">
        <v>15</v>
      </c>
      <c r="H12" t="n">
        <v>4</v>
      </c>
      <c r="I12" t="n">
        <v>0</v>
      </c>
      <c r="J12">
        <f>SUM(D12:H12)-IF(I12&gt;1,5*(I12-1),0)</f>
        <v/>
      </c>
      <c r="K12" t="inlineStr"/>
    </row>
    <row r="13">
      <c r="A13" t="inlineStr">
        <is>
          <t>gdawso56</t>
        </is>
      </c>
      <c r="B13" t="inlineStr">
        <is>
          <t>Dawson</t>
        </is>
      </c>
      <c r="C13" t="inlineStr">
        <is>
          <t>Grace</t>
        </is>
      </c>
      <c r="D13" t="n">
        <v>29</v>
      </c>
      <c r="E13" t="n">
        <v>20</v>
      </c>
      <c r="F13" t="n">
        <v>20</v>
      </c>
      <c r="G13" t="n">
        <v>15</v>
      </c>
      <c r="H13" t="n">
        <v>4</v>
      </c>
      <c r="I13" t="n">
        <v>2</v>
      </c>
      <c r="J13">
        <f>SUM(D13:H13)-IF(I13&gt;1,5*(I13-1),0)</f>
        <v/>
      </c>
      <c r="K13" t="inlineStr">
        <is>
          <t>no error handling on fetch</t>
        </is>
      </c>
    </row>
    <row r="14">
      <c r="A14" t="inlineStr">
        <is>
          <t>ldawso94</t>
        </is>
      </c>
      <c r="B14" t="inlineStr">
        <is>
          <t>Dawson</t>
        </is>
      </c>
      <c r="C14" t="inlineStr">
        <is>
          <t>Logan</t>
        </is>
      </c>
      <c r="D14" t="n">
        <v>30</v>
      </c>
      <c r="E14" t="n">
        <v>30</v>
      </c>
      <c r="F14" t="n">
        <v>20</v>
      </c>
      <c r="G14" t="n">
        <v>13</v>
      </c>
      <c r="H14" t="n">
        <v>4</v>
      </c>
      <c r="I14" t="n">
        <v>0</v>
      </c>
      <c r="J14">
        <f>SUM(D14:H14)-IF(I14&gt;1,5*(I14-1),0)</f>
        <v/>
      </c>
      <c r="K14" t="inlineStr"/>
    </row>
    <row r="15">
      <c r="A15" t="inlineStr">
        <is>
          <t>rdawso79</t>
        </is>
      </c>
      <c r="B15" t="inlineStr">
        <is>
          <t>Dawson</t>
        </is>
      </c>
      <c r="C15" t="inlineStr">
        <is>
          <t>Ryan</t>
        </is>
      </c>
      <c r="D15" t="n">
        <v>30</v>
      </c>
      <c r="E15" t="n">
        <v>29</v>
      </c>
      <c r="F15" t="n">
        <v>20</v>
      </c>
      <c r="G15" t="n">
        <v>15</v>
      </c>
      <c r="H15" t="n">
        <v>5</v>
      </c>
      <c r="I15" t="n">
        <v>0</v>
      </c>
      <c r="J15">
        <f>SUM(D15:H15)-IF(I15&gt;1,5*(I15-1),0)</f>
        <v/>
      </c>
      <c r="K15" t="inlineStr"/>
    </row>
    <row r="16">
      <c r="A16" t="inlineStr">
        <is>
          <t>mdelga29</t>
        </is>
      </c>
      <c r="B16" t="inlineStr">
        <is>
          <t>Delgado</t>
        </is>
      </c>
      <c r="C16" t="inlineStr">
        <is>
          <t>Maya</t>
        </is>
      </c>
      <c r="D16" t="n">
        <v>28</v>
      </c>
      <c r="E16" t="n">
        <v>30</v>
      </c>
      <c r="F16" t="n">
        <v>14</v>
      </c>
      <c r="G16" t="n">
        <v>10</v>
      </c>
      <c r="H16" t="n">
        <v>4</v>
      </c>
      <c r="I16" t="n">
        <v>0</v>
      </c>
      <c r="J16">
        <f>SUM(D16:H16)-IF(I16&gt;1,5*(I16-1),0)</f>
        <v/>
      </c>
      <c r="K16" t="inlineStr"/>
    </row>
    <row r="17">
      <c r="A17" t="inlineStr">
        <is>
          <t>dellis12</t>
        </is>
      </c>
      <c r="B17" t="inlineStr">
        <is>
          <t>Ellis</t>
        </is>
      </c>
      <c r="C17" t="inlineStr">
        <is>
          <t>Daniel</t>
        </is>
      </c>
      <c r="D17" t="n">
        <v>20</v>
      </c>
      <c r="E17" t="n">
        <v>30</v>
      </c>
      <c r="F17" t="n">
        <v>19</v>
      </c>
      <c r="G17" t="n">
        <v>10</v>
      </c>
      <c r="H17" t="n">
        <v>5</v>
      </c>
      <c r="I17" t="n">
        <v>0</v>
      </c>
      <c r="J17">
        <f>SUM(D17:H17)-IF(I17&gt;1,5*(I17-1),0)</f>
        <v/>
      </c>
      <c r="K17" t="inlineStr">
        <is>
          <t>great UI polish</t>
        </is>
      </c>
    </row>
    <row r="18">
      <c r="A18" t="inlineStr">
        <is>
          <t>cfitzg19</t>
        </is>
      </c>
      <c r="B18" t="inlineStr">
        <is>
          <t>Fitzgerald</t>
        </is>
      </c>
      <c r="C18" t="inlineStr">
        <is>
          <t>Caleb</t>
        </is>
      </c>
      <c r="D18" t="n">
        <v>30</v>
      </c>
      <c r="E18" t="n">
        <v>30</v>
      </c>
      <c r="F18" t="n">
        <v>20</v>
      </c>
      <c r="G18" t="n">
        <v>15</v>
      </c>
      <c r="H18" t="n">
        <v>5</v>
      </c>
      <c r="I18" t="n">
        <v>0</v>
      </c>
      <c r="J18">
        <f>SUM(D18:H18)-IF(I18&gt;1,5*(I18-1),0)</f>
        <v/>
      </c>
      <c r="K18" t="inlineStr">
        <is>
          <t>nice test coverage</t>
        </is>
      </c>
    </row>
    <row r="19">
      <c r="A19" t="inlineStr">
        <is>
          <t>efitzg9</t>
        </is>
      </c>
      <c r="B19" t="inlineStr">
        <is>
          <t>Fitzgerald</t>
        </is>
      </c>
      <c r="C19" t="inlineStr">
        <is>
          <t>Ethan</t>
        </is>
      </c>
      <c r="D19" t="n">
        <v>30</v>
      </c>
      <c r="E19" t="n">
        <v>28</v>
      </c>
      <c r="F19" t="n">
        <v>20</v>
      </c>
      <c r="G19" t="n">
        <v>15</v>
      </c>
      <c r="H19" t="n">
        <v>3</v>
      </c>
      <c r="I19" t="n">
        <v>0</v>
      </c>
      <c r="J19">
        <f>SUM(D19:H19)-IF(I19&gt;1,5*(I19-1),0)</f>
        <v/>
      </c>
      <c r="K19" t="inlineStr"/>
    </row>
    <row r="20">
      <c r="A20" t="inlineStr">
        <is>
          <t>vfitzg44</t>
        </is>
      </c>
      <c r="B20" t="inlineStr">
        <is>
          <t>Fitzgerald</t>
        </is>
      </c>
      <c r="C20" t="inlineStr">
        <is>
          <t>Victor</t>
        </is>
      </c>
      <c r="D20" t="n">
        <v>29</v>
      </c>
      <c r="E20" t="n">
        <v>30</v>
      </c>
      <c r="F20" t="n">
        <v>18</v>
      </c>
      <c r="G20" t="n">
        <v>15</v>
      </c>
      <c r="H20" t="n">
        <v>5</v>
      </c>
      <c r="I20" t="n">
        <v>0</v>
      </c>
      <c r="J20">
        <f>SUM(D20:H20)-IF(I20&gt;1,5*(I20-1),0)</f>
        <v/>
      </c>
      <c r="K20" t="inlineStr"/>
    </row>
    <row r="21">
      <c r="A21" t="inlineStr">
        <is>
          <t>nfoste50</t>
        </is>
      </c>
      <c r="B21" t="inlineStr">
        <is>
          <t>Foster</t>
        </is>
      </c>
      <c r="C21" t="inlineStr">
        <is>
          <t>Noah</t>
        </is>
      </c>
      <c r="D21" t="n">
        <v>28</v>
      </c>
      <c r="E21" t="n">
        <v>29</v>
      </c>
      <c r="F21" t="n">
        <v>14</v>
      </c>
      <c r="G21" t="n">
        <v>14</v>
      </c>
      <c r="H21" t="n">
        <v>5</v>
      </c>
      <c r="I21" t="n">
        <v>0</v>
      </c>
      <c r="J21">
        <f>SUM(D21:H21)-IF(I21&gt;1,5*(I21-1),0)</f>
        <v/>
      </c>
      <c r="K21" t="inlineStr">
        <is>
          <t>no error handling on fetch</t>
        </is>
      </c>
    </row>
    <row r="22">
      <c r="A22" t="inlineStr">
        <is>
          <t>agreen67</t>
        </is>
      </c>
      <c r="B22" t="inlineStr">
        <is>
          <t>Greene</t>
        </is>
      </c>
      <c r="C22" t="inlineStr">
        <is>
          <t>Arjun</t>
        </is>
      </c>
      <c r="D22" t="n">
        <v>30</v>
      </c>
      <c r="E22" t="n">
        <v>20</v>
      </c>
      <c r="F22" t="n">
        <v>18</v>
      </c>
      <c r="G22" t="n">
        <v>13</v>
      </c>
      <c r="H22" t="n">
        <v>5</v>
      </c>
      <c r="I22" t="n">
        <v>0</v>
      </c>
      <c r="J22">
        <f>SUM(D22:H22)-IF(I22&gt;1,5*(I22-1),0)</f>
        <v/>
      </c>
      <c r="K22" t="inlineStr">
        <is>
          <t>no error handling on fetch</t>
        </is>
      </c>
    </row>
    <row r="23">
      <c r="A23" t="inlineStr">
        <is>
          <t>igreen46</t>
        </is>
      </c>
      <c r="B23" t="inlineStr">
        <is>
          <t>Greene</t>
        </is>
      </c>
      <c r="C23" t="inlineStr">
        <is>
          <t>Isabel</t>
        </is>
      </c>
      <c r="D23" t="n">
        <v>27</v>
      </c>
      <c r="E23" t="n">
        <v>20</v>
      </c>
      <c r="F23" t="n">
        <v>19</v>
      </c>
      <c r="G23" t="n">
        <v>15</v>
      </c>
      <c r="H23" t="n">
        <v>4</v>
      </c>
      <c r="I23" t="n">
        <v>1</v>
      </c>
      <c r="J23">
        <f>SUM(D23:H23)-IF(I23&gt;1,5*(I23-1),0)</f>
        <v/>
      </c>
      <c r="K23" t="inlineStr">
        <is>
          <t>hard-coded API key in config, -2</t>
        </is>
      </c>
    </row>
    <row r="24">
      <c r="A24" t="inlineStr">
        <is>
          <t>mgreen47</t>
        </is>
      </c>
      <c r="B24" t="inlineStr">
        <is>
          <t>Greene</t>
        </is>
      </c>
      <c r="C24" t="inlineStr">
        <is>
          <t>Marco</t>
        </is>
      </c>
      <c r="D24" t="n">
        <v>30</v>
      </c>
      <c r="E24" t="n">
        <v>20</v>
      </c>
      <c r="F24" t="n">
        <v>20</v>
      </c>
      <c r="G24" t="n">
        <v>15</v>
      </c>
      <c r="H24" t="n">
        <v>3</v>
      </c>
      <c r="I24" t="n">
        <v>0</v>
      </c>
      <c r="J24">
        <f>SUM(D24:H24)-IF(I24&gt;1,5*(I24-1),0)</f>
        <v/>
      </c>
      <c r="K24" t="inlineStr"/>
    </row>
    <row r="25">
      <c r="A25" t="inlineStr">
        <is>
          <t>agupta99</t>
        </is>
      </c>
      <c r="B25" t="inlineStr">
        <is>
          <t>Gupta</t>
        </is>
      </c>
      <c r="C25" t="inlineStr">
        <is>
          <t>Anika</t>
        </is>
      </c>
      <c r="D25" t="n">
        <v>28</v>
      </c>
      <c r="E25" t="n">
        <v>20</v>
      </c>
      <c r="F25" t="n">
        <v>19</v>
      </c>
      <c r="G25" t="n">
        <v>10</v>
      </c>
      <c r="H25" t="n">
        <v>4</v>
      </c>
      <c r="I25" t="n">
        <v>0</v>
      </c>
      <c r="J25">
        <f>SUM(D25:H25)-IF(I25&gt;1,5*(I25-1),0)</f>
        <v/>
      </c>
      <c r="K25" t="inlineStr"/>
    </row>
    <row r="26">
      <c r="A26" t="inlineStr">
        <is>
          <t>khale16</t>
        </is>
      </c>
      <c r="B26" t="inlineStr">
        <is>
          <t>Hale</t>
        </is>
      </c>
      <c r="C26" t="inlineStr">
        <is>
          <t>Kyle</t>
        </is>
      </c>
      <c r="D26" t="n">
        <v>28</v>
      </c>
      <c r="E26" t="n">
        <v>30</v>
      </c>
      <c r="F26" t="n">
        <v>17</v>
      </c>
      <c r="G26" t="n">
        <v>12</v>
      </c>
      <c r="H26" t="n">
        <v>4</v>
      </c>
      <c r="I26" t="n">
        <v>0</v>
      </c>
      <c r="J26">
        <f>SUM(D26:H26)-IF(I26&gt;1,5*(I26-1),0)</f>
        <v/>
      </c>
      <c r="K26" t="inlineStr">
        <is>
          <t>routes not RESTful</t>
        </is>
      </c>
    </row>
    <row r="27">
      <c r="A27" t="inlineStr">
        <is>
          <t>shale29</t>
        </is>
      </c>
      <c r="B27" t="inlineStr">
        <is>
          <t>Hale</t>
        </is>
      </c>
      <c r="C27" t="inlineStr">
        <is>
          <t>Sofia</t>
        </is>
      </c>
      <c r="D27" t="n">
        <v>30</v>
      </c>
      <c r="E27" t="n">
        <v>30</v>
      </c>
      <c r="F27" t="n">
        <v>20</v>
      </c>
      <c r="G27" t="n">
        <v>15</v>
      </c>
      <c r="H27" t="n">
        <v>5</v>
      </c>
      <c r="I27" t="n">
        <v>2</v>
      </c>
      <c r="J27">
        <f>SUM(D27:H27)-IF(I27&gt;1,5*(I27-1),0)</f>
        <v/>
      </c>
      <c r="K27" t="inlineStr"/>
    </row>
    <row r="28">
      <c r="A28" t="inlineStr">
        <is>
          <t>nholt27</t>
        </is>
      </c>
      <c r="B28" t="inlineStr">
        <is>
          <t>Holt</t>
        </is>
      </c>
      <c r="C28" t="inlineStr">
        <is>
          <t>Noah</t>
        </is>
      </c>
      <c r="D28" t="n">
        <v>30</v>
      </c>
      <c r="E28" t="n">
        <v>20</v>
      </c>
      <c r="F28" t="n">
        <v>18</v>
      </c>
      <c r="G28" t="n">
        <v>15</v>
      </c>
      <c r="H28" t="n">
        <v>4</v>
      </c>
      <c r="I28" t="n">
        <v>0</v>
      </c>
      <c r="J28">
        <f>SUM(D28:H28)-IF(I28&gt;1,5*(I28-1),0)</f>
        <v/>
      </c>
      <c r="K28" t="inlineStr"/>
    </row>
    <row r="29">
      <c r="A29" t="inlineStr">
        <is>
          <t>aiqbal87</t>
        </is>
      </c>
      <c r="B29" t="inlineStr">
        <is>
          <t>Iqbal</t>
        </is>
      </c>
      <c r="C29" t="inlineStr">
        <is>
          <t>Anika</t>
        </is>
      </c>
      <c r="D29" t="n">
        <v>28</v>
      </c>
      <c r="E29" t="n">
        <v>29</v>
      </c>
      <c r="F29" t="n">
        <v>14</v>
      </c>
      <c r="G29" t="n">
        <v>15</v>
      </c>
      <c r="H29" t="n">
        <v>3</v>
      </c>
      <c r="I29" t="n">
        <v>0</v>
      </c>
      <c r="J29">
        <f>SUM(D29:H29)-IF(I29&gt;1,5*(I29-1),0)</f>
        <v/>
      </c>
      <c r="K29" t="inlineStr">
        <is>
          <t>nice test coverage</t>
        </is>
      </c>
    </row>
    <row r="30">
      <c r="A30" t="inlineStr">
        <is>
          <t>ciqbal17</t>
        </is>
      </c>
      <c r="B30" t="inlineStr">
        <is>
          <t>Iqbal</t>
        </is>
      </c>
      <c r="C30" t="inlineStr">
        <is>
          <t>Caleb</t>
        </is>
      </c>
      <c r="D30" t="n">
        <v>29</v>
      </c>
      <c r="E30" t="n">
        <v>27</v>
      </c>
      <c r="F30" t="n">
        <v>20</v>
      </c>
      <c r="G30" t="n">
        <v>14</v>
      </c>
      <c r="H30" t="n">
        <v>3</v>
      </c>
      <c r="I30" t="n">
        <v>0</v>
      </c>
      <c r="J30">
        <f>SUM(D30:H30)-IF(I30&gt;1,5*(I30-1),0)</f>
        <v/>
      </c>
      <c r="K30" t="inlineStr"/>
    </row>
    <row r="31">
      <c r="A31" t="inlineStr">
        <is>
          <t>bjense80</t>
        </is>
      </c>
      <c r="B31" t="inlineStr">
        <is>
          <t>Jensen</t>
        </is>
      </c>
      <c r="C31" t="inlineStr">
        <is>
          <t>Ben</t>
        </is>
      </c>
      <c r="D31" t="n">
        <v>27</v>
      </c>
      <c r="E31" t="n">
        <v>30</v>
      </c>
      <c r="F31" t="n">
        <v>20</v>
      </c>
      <c r="G31" t="n">
        <v>15</v>
      </c>
      <c r="H31" t="n">
        <v>4</v>
      </c>
      <c r="I31" t="n">
        <v>0</v>
      </c>
      <c r="J31">
        <f>SUM(D31:H31)-IF(I31&gt;1,5*(I31-1),0)</f>
        <v/>
      </c>
      <c r="K31" t="inlineStr"/>
    </row>
    <row r="32">
      <c r="A32" t="inlineStr">
        <is>
          <t>kjense36</t>
        </is>
      </c>
      <c r="B32" t="inlineStr">
        <is>
          <t>Jensen</t>
        </is>
      </c>
      <c r="C32" t="inlineStr">
        <is>
          <t>Kyle</t>
        </is>
      </c>
      <c r="D32" t="n">
        <v>30</v>
      </c>
      <c r="E32" t="n">
        <v>20</v>
      </c>
      <c r="F32" t="n">
        <v>18</v>
      </c>
      <c r="G32" t="n">
        <v>14</v>
      </c>
      <c r="H32" t="n">
        <v>4</v>
      </c>
      <c r="I32" t="n">
        <v>0</v>
      </c>
      <c r="J32">
        <f>SUM(D32:H32)-IF(I32&gt;1,5*(I32-1),0)</f>
        <v/>
      </c>
      <c r="K32" t="inlineStr"/>
    </row>
    <row r="33">
      <c r="A33" t="inlineStr">
        <is>
          <t>ljense7</t>
        </is>
      </c>
      <c r="B33" t="inlineStr">
        <is>
          <t>Jensen</t>
        </is>
      </c>
      <c r="C33" t="inlineStr">
        <is>
          <t>Leah</t>
        </is>
      </c>
      <c r="D33" t="n">
        <v>30</v>
      </c>
      <c r="E33" t="n">
        <v>30</v>
      </c>
      <c r="F33" t="n">
        <v>19</v>
      </c>
      <c r="G33" t="n">
        <v>14</v>
      </c>
      <c r="H33" t="n">
        <v>5</v>
      </c>
      <c r="I33" t="n">
        <v>0</v>
      </c>
      <c r="J33">
        <f>SUM(D33:H33)-IF(I33&gt;1,5*(I33-1),0)</f>
        <v/>
      </c>
      <c r="K33" t="inlineStr">
        <is>
          <t>no error handling on fetch</t>
        </is>
      </c>
    </row>
    <row r="34">
      <c r="A34" t="inlineStr">
        <is>
          <t>kjorda48</t>
        </is>
      </c>
      <c r="B34" t="inlineStr">
        <is>
          <t>Jordan</t>
        </is>
      </c>
      <c r="C34" t="inlineStr">
        <is>
          <t>Kyle</t>
        </is>
      </c>
      <c r="D34" t="n">
        <v>30</v>
      </c>
      <c r="E34" t="n">
        <v>30</v>
      </c>
      <c r="F34" t="n">
        <v>20</v>
      </c>
      <c r="G34" t="n">
        <v>14</v>
      </c>
      <c r="H34" t="n">
        <v>5</v>
      </c>
      <c r="I34" t="n">
        <v>0</v>
      </c>
      <c r="J34">
        <f>SUM(D34:H34)-IF(I34&gt;1,5*(I34-1),0)</f>
        <v/>
      </c>
      <c r="K34" t="inlineStr"/>
    </row>
    <row r="35">
      <c r="A35" t="inlineStr">
        <is>
          <t>mkaur50</t>
        </is>
      </c>
      <c r="B35" t="inlineStr">
        <is>
          <t>Kaur</t>
        </is>
      </c>
      <c r="C35" t="inlineStr">
        <is>
          <t>Marco</t>
        </is>
      </c>
      <c r="D35" t="n">
        <v>27</v>
      </c>
      <c r="E35" t="n">
        <v>28</v>
      </c>
      <c r="F35" t="n">
        <v>17</v>
      </c>
      <c r="G35" t="n">
        <v>13</v>
      </c>
      <c r="H35" t="n">
        <v>3</v>
      </c>
      <c r="I35" t="n">
        <v>1</v>
      </c>
      <c r="J35">
        <f>SUM(D35:H35)-IF(I35&gt;1,5*(I35-1),0)</f>
        <v/>
      </c>
      <c r="K35" t="inlineStr"/>
    </row>
    <row r="36">
      <c r="A36" t="inlineStr">
        <is>
          <t>bkowal95</t>
        </is>
      </c>
      <c r="B36" t="inlineStr">
        <is>
          <t>Kowalski</t>
        </is>
      </c>
      <c r="C36" t="inlineStr">
        <is>
          <t>Ben</t>
        </is>
      </c>
      <c r="D36" t="n">
        <v>30</v>
      </c>
      <c r="E36" t="n">
        <v>29</v>
      </c>
      <c r="F36" t="n">
        <v>20</v>
      </c>
      <c r="G36" t="n">
        <v>14</v>
      </c>
      <c r="H36" t="n">
        <v>3</v>
      </c>
      <c r="I36" t="n">
        <v>0</v>
      </c>
      <c r="J36">
        <f>SUM(D36:H36)-IF(I36&gt;1,5*(I36-1),0)</f>
        <v/>
      </c>
      <c r="K36" t="inlineStr"/>
    </row>
    <row r="37">
      <c r="A37" t="inlineStr">
        <is>
          <t>nkowal51</t>
        </is>
      </c>
      <c r="B37" t="inlineStr">
        <is>
          <t>Kowalski</t>
        </is>
      </c>
      <c r="C37" t="inlineStr">
        <is>
          <t>Nadia</t>
        </is>
      </c>
      <c r="D37" t="n">
        <v>28</v>
      </c>
      <c r="E37" t="n">
        <v>20</v>
      </c>
      <c r="F37" t="n">
        <v>17</v>
      </c>
      <c r="G37" t="n">
        <v>15</v>
      </c>
      <c r="H37" t="n">
        <v>5</v>
      </c>
      <c r="I37" t="n">
        <v>1</v>
      </c>
      <c r="J37">
        <f>SUM(D37:H37)-IF(I37&gt;1,5*(I37-1),0)</f>
        <v/>
      </c>
      <c r="K37" t="inlineStr">
        <is>
          <t>hard-coded API key in config, -2</t>
        </is>
      </c>
    </row>
    <row r="38">
      <c r="A38" t="inlineStr">
        <is>
          <t>okowal27</t>
        </is>
      </c>
      <c r="B38" t="inlineStr">
        <is>
          <t>Kowalski</t>
        </is>
      </c>
      <c r="C38" t="inlineStr">
        <is>
          <t>Owen</t>
        </is>
      </c>
      <c r="D38" t="n">
        <v>30</v>
      </c>
      <c r="E38" t="n">
        <v>29</v>
      </c>
      <c r="F38" t="n">
        <v>17</v>
      </c>
      <c r="G38" t="n">
        <v>15</v>
      </c>
      <c r="H38" t="n">
        <v>4</v>
      </c>
      <c r="I38" t="n">
        <v>0</v>
      </c>
      <c r="J38">
        <f>SUM(D38:H38)-IF(I38&gt;1,5*(I38-1),0)</f>
        <v/>
      </c>
      <c r="K38" t="inlineStr">
        <is>
          <t>README missing run instructions</t>
        </is>
      </c>
    </row>
    <row r="39">
      <c r="A39" t="inlineStr">
        <is>
          <t>skowal11</t>
        </is>
      </c>
      <c r="B39" t="inlineStr">
        <is>
          <t>Kowalski</t>
        </is>
      </c>
      <c r="C39" t="inlineStr">
        <is>
          <t>Sara</t>
        </is>
      </c>
      <c r="D39" t="n">
        <v>20</v>
      </c>
      <c r="E39" t="n">
        <v>29</v>
      </c>
      <c r="F39" t="n">
        <v>20</v>
      </c>
      <c r="G39" t="n">
        <v>10</v>
      </c>
      <c r="H39" t="n">
        <v>5</v>
      </c>
      <c r="I39" t="n">
        <v>0</v>
      </c>
      <c r="J39">
        <f>SUM(D39:H39)-IF(I39&gt;1,5*(I39-1),0)</f>
        <v/>
      </c>
      <c r="K39" t="inlineStr">
        <is>
          <t>hard-coded API key in config, -2</t>
        </is>
      </c>
    </row>
    <row r="40">
      <c r="A40" t="inlineStr">
        <is>
          <t>dlowe11</t>
        </is>
      </c>
      <c r="B40" t="inlineStr">
        <is>
          <t>Lowe</t>
        </is>
      </c>
      <c r="C40" t="inlineStr">
        <is>
          <t>Daniel</t>
        </is>
      </c>
      <c r="D40" t="n">
        <v>28</v>
      </c>
      <c r="E40" t="n">
        <v>29</v>
      </c>
      <c r="F40" t="n">
        <v>20</v>
      </c>
      <c r="G40" t="n">
        <v>10</v>
      </c>
      <c r="H40" t="n">
        <v>5</v>
      </c>
      <c r="I40" t="n">
        <v>0</v>
      </c>
      <c r="J40">
        <f>SUM(D40:H40)-IF(I40&gt;1,5*(I40-1),0)</f>
        <v/>
      </c>
      <c r="K40" t="inlineStr"/>
    </row>
    <row r="41">
      <c r="A41" t="inlineStr">
        <is>
          <t>elowe23</t>
        </is>
      </c>
      <c r="B41" t="inlineStr">
        <is>
          <t>Lowe</t>
        </is>
      </c>
      <c r="C41" t="inlineStr">
        <is>
          <t>Emily</t>
        </is>
      </c>
      <c r="D41" t="n">
        <v>30</v>
      </c>
      <c r="E41" t="n">
        <v>29</v>
      </c>
      <c r="F41" t="n">
        <v>20</v>
      </c>
      <c r="G41" t="n">
        <v>14</v>
      </c>
      <c r="H41" t="n">
        <v>5</v>
      </c>
      <c r="I41" t="n">
        <v>0</v>
      </c>
      <c r="J41">
        <f>SUM(D41:H41)-IF(I41&gt;1,5*(I41-1),0)</f>
        <v/>
      </c>
      <c r="K41" t="inlineStr">
        <is>
          <t>no error handling on fetch</t>
        </is>
      </c>
    </row>
    <row r="42">
      <c r="A42" t="inlineStr">
        <is>
          <t>jlowe60</t>
        </is>
      </c>
      <c r="B42" t="inlineStr">
        <is>
          <t>Lowe</t>
        </is>
      </c>
      <c r="C42" t="inlineStr">
        <is>
          <t>Jacob</t>
        </is>
      </c>
      <c r="D42" t="n">
        <v>30</v>
      </c>
      <c r="E42" t="n">
        <v>28</v>
      </c>
      <c r="F42" t="n">
        <v>20</v>
      </c>
      <c r="G42" t="n">
        <v>13</v>
      </c>
      <c r="H42" t="n">
        <v>4</v>
      </c>
      <c r="I42" t="n">
        <v>0</v>
      </c>
      <c r="J42">
        <f>SUM(D42:H42)-IF(I42&gt;1,5*(I42-1),0)</f>
        <v/>
      </c>
      <c r="K42" t="inlineStr"/>
    </row>
    <row r="43">
      <c r="A43" t="inlineStr">
        <is>
          <t>emendo45</t>
        </is>
      </c>
      <c r="B43" t="inlineStr">
        <is>
          <t>Mendoza</t>
        </is>
      </c>
      <c r="C43" t="inlineStr">
        <is>
          <t>Ellie</t>
        </is>
      </c>
      <c r="D43" t="n">
        <v>20</v>
      </c>
      <c r="E43" t="n">
        <v>29</v>
      </c>
      <c r="F43" t="n">
        <v>20</v>
      </c>
      <c r="G43" t="n">
        <v>14</v>
      </c>
      <c r="H43" t="n">
        <v>5</v>
      </c>
      <c r="I43" t="n">
        <v>0</v>
      </c>
      <c r="J43">
        <f>SUM(D43:H43)-IF(I43&gt;1,5*(I43-1),0)</f>
        <v/>
      </c>
      <c r="K43" t="inlineStr">
        <is>
          <t>README missing run instructions</t>
        </is>
      </c>
    </row>
    <row r="44">
      <c r="A44" t="inlineStr">
        <is>
          <t>mmendo55</t>
        </is>
      </c>
      <c r="B44" t="inlineStr">
        <is>
          <t>Mendoza</t>
        </is>
      </c>
      <c r="C44" t="inlineStr">
        <is>
          <t>Mason</t>
        </is>
      </c>
      <c r="D44" t="n">
        <v>27</v>
      </c>
      <c r="E44" t="n">
        <v>29</v>
      </c>
      <c r="F44" t="n">
        <v>19</v>
      </c>
      <c r="G44" t="n">
        <v>14</v>
      </c>
      <c r="H44" t="n">
        <v>4</v>
      </c>
      <c r="I44" t="n">
        <v>0</v>
      </c>
      <c r="J44">
        <f>SUM(D44:H44)-IF(I44&gt;1,5*(I44-1),0)</f>
        <v/>
      </c>
      <c r="K44" t="inlineStr">
        <is>
          <t>routes not RESTful</t>
        </is>
      </c>
    </row>
    <row r="45">
      <c r="A45" t="inlineStr">
        <is>
          <t>jnakam87</t>
        </is>
      </c>
      <c r="B45" t="inlineStr">
        <is>
          <t>Nakamura</t>
        </is>
      </c>
      <c r="C45" t="inlineStr">
        <is>
          <t>Jacob</t>
        </is>
      </c>
      <c r="D45" t="n">
        <v>27</v>
      </c>
      <c r="E45" t="n">
        <v>28</v>
      </c>
      <c r="F45" t="n">
        <v>14</v>
      </c>
      <c r="G45" t="n">
        <v>14</v>
      </c>
      <c r="H45" t="n">
        <v>2</v>
      </c>
      <c r="I45" t="n">
        <v>2</v>
      </c>
      <c r="J45">
        <f>SUM(D45:H45)-IF(I45&gt;1,5*(I45-1),0)</f>
        <v/>
      </c>
      <c r="K45" t="inlineStr">
        <is>
          <t>hard-coded API key in config, -2</t>
        </is>
      </c>
    </row>
    <row r="46">
      <c r="A46" t="inlineStr">
        <is>
          <t>gokafo31</t>
        </is>
      </c>
      <c r="B46" t="inlineStr">
        <is>
          <t>Okafor</t>
        </is>
      </c>
      <c r="C46" t="inlineStr">
        <is>
          <t>Grace</t>
        </is>
      </c>
      <c r="D46" t="n">
        <v>30</v>
      </c>
      <c r="E46" t="n">
        <v>30</v>
      </c>
      <c r="F46" t="n">
        <v>20</v>
      </c>
      <c r="G46" t="n">
        <v>15</v>
      </c>
      <c r="H46" t="n">
        <v>5</v>
      </c>
      <c r="I46" t="n">
        <v>0</v>
      </c>
      <c r="J46">
        <f>SUM(D46:H46)-IF(I46&gt;1,5*(I46-1),0)</f>
        <v/>
      </c>
      <c r="K46" t="inlineStr"/>
    </row>
    <row r="47">
      <c r="A47" t="inlineStr">
        <is>
          <t>tokafo53</t>
        </is>
      </c>
      <c r="B47" t="inlineStr">
        <is>
          <t>Okafor</t>
        </is>
      </c>
      <c r="C47" t="inlineStr">
        <is>
          <t>Tyler</t>
        </is>
      </c>
      <c r="D47" t="n">
        <v>27</v>
      </c>
      <c r="E47" t="n">
        <v>29</v>
      </c>
      <c r="F47" t="n">
        <v>20</v>
      </c>
      <c r="G47" t="n">
        <v>15</v>
      </c>
      <c r="H47" t="n">
        <v>5</v>
      </c>
      <c r="I47" t="n">
        <v>0</v>
      </c>
      <c r="J47">
        <f>SUM(D47:H47)-IF(I47&gt;1,5*(I47-1),0)</f>
        <v/>
      </c>
      <c r="K47" t="inlineStr"/>
    </row>
    <row r="48">
      <c r="A48" t="inlineStr">
        <is>
          <t>aprice22</t>
        </is>
      </c>
      <c r="B48" t="inlineStr">
        <is>
          <t>Price</t>
        </is>
      </c>
      <c r="C48" t="inlineStr">
        <is>
          <t>Anika</t>
        </is>
      </c>
      <c r="D48" t="n">
        <v>27</v>
      </c>
      <c r="E48" t="n">
        <v>30</v>
      </c>
      <c r="F48" t="n">
        <v>19</v>
      </c>
      <c r="G48" t="n">
        <v>14</v>
      </c>
      <c r="H48" t="n">
        <v>2</v>
      </c>
      <c r="I48" t="n">
        <v>0</v>
      </c>
      <c r="J48">
        <f>SUM(D48:H48)-IF(I48&gt;1,5*(I48-1),0)</f>
        <v/>
      </c>
      <c r="K48" t="inlineStr"/>
    </row>
    <row r="49">
      <c r="A49" t="inlineStr">
        <is>
          <t>lprice55</t>
        </is>
      </c>
      <c r="B49" t="inlineStr">
        <is>
          <t>Price</t>
        </is>
      </c>
      <c r="C49" t="inlineStr">
        <is>
          <t>Logan</t>
        </is>
      </c>
      <c r="D49" t="n">
        <v>30</v>
      </c>
      <c r="E49" t="n">
        <v>28</v>
      </c>
      <c r="F49" t="n">
        <v>19</v>
      </c>
      <c r="G49" t="n">
        <v>12</v>
      </c>
      <c r="H49" t="n">
        <v>5</v>
      </c>
      <c r="I49" t="n">
        <v>0</v>
      </c>
      <c r="J49">
        <f>SUM(D49:H49)-IF(I49&gt;1,5*(I49-1),0)</f>
        <v/>
      </c>
      <c r="K49" t="inlineStr"/>
    </row>
    <row r="50">
      <c r="A50" t="inlineStr">
        <is>
          <t>tprice13</t>
        </is>
      </c>
      <c r="B50" t="inlineStr">
        <is>
          <t>Price</t>
        </is>
      </c>
      <c r="C50" t="inlineStr">
        <is>
          <t>Tyler</t>
        </is>
      </c>
      <c r="D50" t="n">
        <v>27</v>
      </c>
      <c r="E50" t="n">
        <v>30</v>
      </c>
      <c r="F50" t="n">
        <v>14</v>
      </c>
      <c r="G50" t="n">
        <v>13</v>
      </c>
      <c r="H50" t="n">
        <v>2</v>
      </c>
      <c r="I50" t="n">
        <v>0</v>
      </c>
      <c r="J50">
        <f>SUM(D50:H50)-IF(I50&gt;1,5*(I50-1),0)</f>
        <v/>
      </c>
      <c r="K50" t="inlineStr">
        <is>
          <t>README missing run instructions</t>
        </is>
      </c>
    </row>
    <row r="51">
      <c r="A51" t="inlineStr">
        <is>
          <t>lquinn84</t>
        </is>
      </c>
      <c r="B51" t="inlineStr">
        <is>
          <t>Quinn</t>
        </is>
      </c>
      <c r="C51" t="inlineStr">
        <is>
          <t>Liam</t>
        </is>
      </c>
      <c r="D51" t="n">
        <v>30</v>
      </c>
      <c r="E51" t="n">
        <v>30</v>
      </c>
      <c r="F51" t="n">
        <v>20</v>
      </c>
      <c r="G51" t="n">
        <v>15</v>
      </c>
      <c r="H51" t="n">
        <v>3</v>
      </c>
      <c r="I51" t="n">
        <v>0</v>
      </c>
      <c r="J51">
        <f>SUM(D51:H51)-IF(I51&gt;1,5*(I51-1),0)</f>
        <v/>
      </c>
      <c r="K51" t="inlineStr"/>
    </row>
    <row r="52">
      <c r="A52" t="inlineStr">
        <is>
          <t>jrahma6</t>
        </is>
      </c>
      <c r="B52" t="inlineStr">
        <is>
          <t>Rahman</t>
        </is>
      </c>
      <c r="C52" t="inlineStr">
        <is>
          <t>Julia</t>
        </is>
      </c>
      <c r="D52" t="n">
        <v>28</v>
      </c>
      <c r="E52" t="n">
        <v>30</v>
      </c>
      <c r="F52" t="n">
        <v>20</v>
      </c>
      <c r="G52" t="n">
        <v>10</v>
      </c>
      <c r="H52" t="n">
        <v>4</v>
      </c>
      <c r="I52" t="n">
        <v>0</v>
      </c>
      <c r="J52">
        <f>SUM(D52:H52)-IF(I52&gt;1,5*(I52-1),0)</f>
        <v/>
      </c>
      <c r="K52" t="inlineStr"/>
    </row>
    <row r="53">
      <c r="A53" t="inlineStr">
        <is>
          <t>nrahma20</t>
        </is>
      </c>
      <c r="B53" t="inlineStr">
        <is>
          <t>Rahman</t>
        </is>
      </c>
      <c r="C53" t="inlineStr">
        <is>
          <t>Nadia</t>
        </is>
      </c>
      <c r="D53" t="n">
        <v>27</v>
      </c>
      <c r="E53" t="n">
        <v>20</v>
      </c>
      <c r="F53" t="n">
        <v>20</v>
      </c>
      <c r="G53" t="n">
        <v>10</v>
      </c>
      <c r="H53" t="n">
        <v>5</v>
      </c>
      <c r="I53" t="n">
        <v>0</v>
      </c>
      <c r="J53">
        <f>SUM(D53:H53)-IF(I53&gt;1,5*(I53-1),0)</f>
        <v/>
      </c>
      <c r="K53" t="inlineStr"/>
    </row>
    <row r="54">
      <c r="A54" t="inlineStr">
        <is>
          <t>esulli81</t>
        </is>
      </c>
      <c r="B54" t="inlineStr">
        <is>
          <t>Sullivan</t>
        </is>
      </c>
      <c r="C54" t="inlineStr">
        <is>
          <t>Ethan</t>
        </is>
      </c>
      <c r="D54" t="n">
        <v>30</v>
      </c>
      <c r="E54" t="n">
        <v>29</v>
      </c>
      <c r="F54" t="n">
        <v>17</v>
      </c>
      <c r="G54" t="n">
        <v>10</v>
      </c>
      <c r="H54" t="n">
        <v>5</v>
      </c>
      <c r="I54" t="n">
        <v>0</v>
      </c>
      <c r="J54">
        <f>SUM(D54:H54)-IF(I54&gt;1,5*(I54-1),0)</f>
        <v/>
      </c>
      <c r="K54" t="inlineStr">
        <is>
          <t>nice test coverage</t>
        </is>
      </c>
    </row>
    <row r="55">
      <c r="A55" t="inlineStr">
        <is>
          <t>ssulli17</t>
        </is>
      </c>
      <c r="B55" t="inlineStr">
        <is>
          <t>Sullivan</t>
        </is>
      </c>
      <c r="C55" t="inlineStr">
        <is>
          <t>Sofia</t>
        </is>
      </c>
      <c r="D55" t="n">
        <v>20</v>
      </c>
      <c r="E55" t="n">
        <v>29</v>
      </c>
      <c r="F55" t="n">
        <v>17</v>
      </c>
      <c r="G55" t="n">
        <v>14</v>
      </c>
      <c r="H55" t="n">
        <v>5</v>
      </c>
      <c r="I55" t="n">
        <v>1</v>
      </c>
      <c r="J55">
        <f>SUM(D55:H55)-IF(I55&gt;1,5*(I55-1),0)</f>
        <v/>
      </c>
      <c r="K55" t="inlineStr"/>
    </row>
    <row r="56">
      <c r="A56" t="inlineStr">
        <is>
          <t>stran52</t>
        </is>
      </c>
      <c r="B56" t="inlineStr">
        <is>
          <t>Tran</t>
        </is>
      </c>
      <c r="C56" t="inlineStr">
        <is>
          <t>Sara</t>
        </is>
      </c>
      <c r="D56" t="n">
        <v>27</v>
      </c>
      <c r="E56" t="n">
        <v>30</v>
      </c>
      <c r="F56" t="n">
        <v>18</v>
      </c>
      <c r="G56" t="n">
        <v>12</v>
      </c>
      <c r="H56" t="n">
        <v>5</v>
      </c>
      <c r="I56" t="n">
        <v>0</v>
      </c>
      <c r="J56">
        <f>SUM(D56:H56)-IF(I56&gt;1,5*(I56-1),0)</f>
        <v/>
      </c>
      <c r="K56" t="inlineStr"/>
    </row>
    <row r="57">
      <c r="A57" t="inlineStr">
        <is>
          <t>ztran47</t>
        </is>
      </c>
      <c r="B57" t="inlineStr">
        <is>
          <t>Tran</t>
        </is>
      </c>
      <c r="C57" t="inlineStr">
        <is>
          <t>Zoe</t>
        </is>
      </c>
      <c r="D57" t="n">
        <v>29</v>
      </c>
      <c r="E57" t="n">
        <v>30</v>
      </c>
      <c r="F57" t="n">
        <v>17</v>
      </c>
      <c r="G57" t="n">
        <v>15</v>
      </c>
      <c r="H57" t="n">
        <v>5</v>
      </c>
      <c r="I57" t="n">
        <v>0</v>
      </c>
      <c r="J57">
        <f>SUM(D57:H57)-IF(I57&gt;1,5*(I57-1),0)</f>
        <v/>
      </c>
      <c r="K57" t="inlineStr">
        <is>
          <t>great UI polish</t>
        </is>
      </c>
    </row>
    <row r="58">
      <c r="A58" t="inlineStr">
        <is>
          <t>funder16</t>
        </is>
      </c>
      <c r="B58" t="inlineStr">
        <is>
          <t>Underwood</t>
        </is>
      </c>
      <c r="C58" t="inlineStr">
        <is>
          <t>Fatima</t>
        </is>
      </c>
      <c r="D58" t="n">
        <v>30</v>
      </c>
      <c r="E58" t="n">
        <v>28</v>
      </c>
      <c r="F58" t="n">
        <v>20</v>
      </c>
      <c r="G58" t="n">
        <v>12</v>
      </c>
      <c r="H58" t="n">
        <v>5</v>
      </c>
      <c r="I58" t="n">
        <v>0</v>
      </c>
      <c r="J58">
        <f>SUM(D58:H58)-IF(I58&gt;1,5*(I58-1),0)</f>
        <v/>
      </c>
      <c r="K58" t="inlineStr"/>
    </row>
    <row r="59">
      <c r="A59" t="inlineStr">
        <is>
          <t>ivasqu96</t>
        </is>
      </c>
      <c r="B59" t="inlineStr">
        <is>
          <t>Vasquez</t>
        </is>
      </c>
      <c r="C59" t="inlineStr">
        <is>
          <t>Isabel</t>
        </is>
      </c>
      <c r="D59" t="n">
        <v>29</v>
      </c>
      <c r="E59" t="n">
        <v>30</v>
      </c>
      <c r="F59" t="n">
        <v>19</v>
      </c>
      <c r="G59" t="n">
        <v>15</v>
      </c>
      <c r="H59" t="n">
        <v>3</v>
      </c>
      <c r="I59" t="n">
        <v>0</v>
      </c>
      <c r="J59">
        <f>SUM(D59:H59)-IF(I59&gt;1,5*(I59-1),0)</f>
        <v/>
      </c>
      <c r="K59" t="inlineStr">
        <is>
          <t>routes not RESTful</t>
        </is>
      </c>
    </row>
    <row r="60">
      <c r="A60" t="inlineStr">
        <is>
          <t>rvasqu24</t>
        </is>
      </c>
      <c r="B60" t="inlineStr">
        <is>
          <t>Vasquez</t>
        </is>
      </c>
      <c r="C60" t="inlineStr">
        <is>
          <t>Ryan</t>
        </is>
      </c>
      <c r="D60" t="n">
        <v>20</v>
      </c>
      <c r="E60" t="n">
        <v>28</v>
      </c>
      <c r="F60" t="n">
        <v>19</v>
      </c>
      <c r="G60" t="n">
        <v>10</v>
      </c>
      <c r="H60" t="n">
        <v>4</v>
      </c>
      <c r="I60" t="n">
        <v>0</v>
      </c>
      <c r="J60">
        <f>SUM(D60:H60)-IF(I60&gt;1,5*(I60-1),0)</f>
        <v/>
      </c>
      <c r="K60" t="inlineStr">
        <is>
          <t>hard-coded API key in config, -2</t>
        </is>
      </c>
    </row>
    <row r="61">
      <c r="A61" t="inlineStr">
        <is>
          <t>jwalsh91</t>
        </is>
      </c>
      <c r="B61" t="inlineStr">
        <is>
          <t>Walsh</t>
        </is>
      </c>
      <c r="C61" t="inlineStr">
        <is>
          <t>Jacob</t>
        </is>
      </c>
      <c r="D61" t="n">
        <v>29</v>
      </c>
      <c r="E61" t="n">
        <v>28</v>
      </c>
      <c r="F61" t="n">
        <v>14</v>
      </c>
      <c r="G61" t="n">
        <v>14</v>
      </c>
      <c r="H61" t="n">
        <v>4</v>
      </c>
      <c r="I61" t="n">
        <v>0</v>
      </c>
      <c r="J61">
        <f>SUM(D61:H61)-IF(I61&gt;1,5*(I61-1),0)</f>
        <v/>
      </c>
      <c r="K61" t="inlineStr">
        <is>
          <t>hard-coded API key in config, -2</t>
        </is>
      </c>
    </row>
    <row r="62">
      <c r="A62" t="inlineStr">
        <is>
          <t>nwalsh38</t>
        </is>
      </c>
      <c r="B62" t="inlineStr">
        <is>
          <t>Walsh</t>
        </is>
      </c>
      <c r="C62" t="inlineStr">
        <is>
          <t>Nadia</t>
        </is>
      </c>
      <c r="D62" t="n">
        <v>30</v>
      </c>
      <c r="E62" t="n">
        <v>30</v>
      </c>
      <c r="F62" t="n">
        <v>18</v>
      </c>
      <c r="G62" t="n">
        <v>12</v>
      </c>
      <c r="H62" t="n">
        <v>4</v>
      </c>
      <c r="I62" t="n">
        <v>0</v>
      </c>
      <c r="J62">
        <f>SUM(D62:H62)-IF(I62&gt;1,5*(I62-1),0)</f>
        <v/>
      </c>
      <c r="K62" t="inlineStr">
        <is>
          <t>README missing run instructions</t>
        </is>
      </c>
    </row>
    <row r="63">
      <c r="A63" t="inlineStr">
        <is>
          <t>zwalsh76</t>
        </is>
      </c>
      <c r="B63" t="inlineStr">
        <is>
          <t>Walsh</t>
        </is>
      </c>
      <c r="C63" t="inlineStr">
        <is>
          <t>Zoe</t>
        </is>
      </c>
      <c r="D63" t="n">
        <v>30</v>
      </c>
      <c r="E63" t="n">
        <v>30</v>
      </c>
      <c r="F63" t="n">
        <v>20</v>
      </c>
      <c r="G63" t="n">
        <v>15</v>
      </c>
      <c r="H63" t="n">
        <v>3</v>
      </c>
      <c r="I63" t="n">
        <v>0</v>
      </c>
      <c r="J63">
        <f>SUM(D63:H63)-IF(I63&gt;1,5*(I63-1),0)</f>
        <v/>
      </c>
      <c r="K63" t="inlineStr">
        <is>
          <t>README missing run instructions</t>
        </is>
      </c>
    </row>
    <row r="64">
      <c r="A64" t="inlineStr">
        <is>
          <t>tyilma60</t>
        </is>
      </c>
      <c r="B64" t="inlineStr">
        <is>
          <t>Yilmaz</t>
        </is>
      </c>
      <c r="C64" t="inlineStr">
        <is>
          <t>Tyler</t>
        </is>
      </c>
      <c r="D64" t="n">
        <v>30</v>
      </c>
      <c r="E64" t="n">
        <v>27</v>
      </c>
      <c r="F64" t="n">
        <v>18</v>
      </c>
      <c r="G64" t="n">
        <v>15</v>
      </c>
      <c r="H64" t="n">
        <v>4</v>
      </c>
      <c r="I64" t="n">
        <v>0</v>
      </c>
      <c r="J64">
        <f>SUM(D64:H64)-IF(I64&gt;1,5*(I64-1),0)</f>
        <v/>
      </c>
      <c r="K64" t="inlineStr">
        <is>
          <t>nice test coverage</t>
        </is>
      </c>
    </row>
    <row r="65">
      <c r="A65" t="inlineStr">
        <is>
          <t>nzimme44</t>
        </is>
      </c>
      <c r="B65" t="inlineStr">
        <is>
          <t>Zimmerman</t>
        </is>
      </c>
      <c r="C65" t="inlineStr">
        <is>
          <t>Nathan</t>
        </is>
      </c>
      <c r="D65" t="n">
        <v>20</v>
      </c>
      <c r="E65" t="n">
        <v>29</v>
      </c>
      <c r="F65" t="n">
        <v>20</v>
      </c>
      <c r="G65" t="n">
        <v>14</v>
      </c>
      <c r="H65" t="n">
        <v>5</v>
      </c>
      <c r="I65" t="n">
        <v>0</v>
      </c>
      <c r="J65">
        <f>SUM(D65:H65)-IF(I65&gt;1,5*(I65-1),0)</f>
        <v/>
      </c>
      <c r="K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8" customWidth="1" min="4" max="4"/>
    <col width="17" customWidth="1" min="5" max="5"/>
    <col width="22" customWidth="1" min="6" max="6"/>
    <col width="20" customWidth="1" min="7" max="7"/>
    <col width="12" customWidth="1" min="8" max="8"/>
    <col width="17" customWidth="1" min="9" max="9"/>
    <col width="11" customWidth="1" min="10" max="10"/>
    <col width="37" customWidth="1" min="11" max="11"/>
    <col width="34" customWidth="1" min="12" max="12"/>
  </cols>
  <sheetData>
    <row r="1">
      <c r="A1" t="inlineStr">
        <is>
          <t>PID</t>
        </is>
      </c>
      <c r="B1" t="inlineStr">
        <is>
          <t>Last</t>
        </is>
      </c>
      <c r="C1" t="inlineStr">
        <is>
          <t>First</t>
        </is>
      </c>
      <c r="D1" t="inlineStr">
        <is>
          <t>React views (25)</t>
        </is>
      </c>
      <c r="E1" t="inlineStr">
        <is>
          <t>State mgmt (20)</t>
        </is>
      </c>
      <c r="F1" t="inlineStr">
        <is>
          <t>API integration (20)</t>
        </is>
      </c>
      <c r="G1" t="inlineStr">
        <is>
          <t>Accessibility (10)</t>
        </is>
      </c>
      <c r="H1" t="inlineStr">
        <is>
          <t>Tests (15)</t>
        </is>
      </c>
      <c r="I1" t="inlineStr">
        <is>
          <t>Demo video (10)</t>
        </is>
      </c>
      <c r="J1" t="inlineStr">
        <is>
          <t>Late days</t>
        </is>
      </c>
      <c r="K1" t="inlineStr">
        <is>
          <t>Total</t>
        </is>
      </c>
      <c r="L1" t="inlineStr">
        <is>
          <t>Comment</t>
        </is>
      </c>
    </row>
    <row r="2">
      <c r="A2" t="inlineStr">
        <is>
          <t>aalvar73</t>
        </is>
      </c>
      <c r="B2" t="inlineStr">
        <is>
          <t>Alvarez</t>
        </is>
      </c>
      <c r="C2" t="inlineStr">
        <is>
          <t>Anika</t>
        </is>
      </c>
      <c r="D2" t="n">
        <v>17</v>
      </c>
      <c r="E2" t="n">
        <v>19</v>
      </c>
      <c r="F2" t="n">
        <v>19</v>
      </c>
      <c r="G2" t="n">
        <v>7</v>
      </c>
      <c r="H2" t="n">
        <v>15</v>
      </c>
      <c r="I2" t="n">
        <v>7</v>
      </c>
      <c r="J2" t="n">
        <v>0</v>
      </c>
      <c r="K2">
        <f>SUM(D2:I2)-IF(J2&gt;1,5*(J2-1),0)</f>
        <v/>
      </c>
      <c r="L2" t="inlineStr">
        <is>
          <t>nice test coverage</t>
        </is>
      </c>
    </row>
    <row r="3">
      <c r="A3" t="inlineStr">
        <is>
          <t>halvar44</t>
        </is>
      </c>
      <c r="B3" t="inlineStr">
        <is>
          <t>Alvarez</t>
        </is>
      </c>
      <c r="C3" t="inlineStr">
        <is>
          <t>Hana</t>
        </is>
      </c>
      <c r="D3" t="n">
        <v>17</v>
      </c>
      <c r="E3" t="n">
        <v>19</v>
      </c>
      <c r="F3" t="n">
        <v>20</v>
      </c>
      <c r="G3" t="n">
        <v>7</v>
      </c>
      <c r="H3" t="n">
        <v>15</v>
      </c>
      <c r="I3" t="n">
        <v>10</v>
      </c>
      <c r="J3" t="n">
        <v>0</v>
      </c>
      <c r="K3">
        <f>SUM(D3:I3)-IF(J3&gt;1,5*(J3-1),0)</f>
        <v/>
      </c>
      <c r="L3" t="inlineStr">
        <is>
          <t>nice test coverage</t>
        </is>
      </c>
    </row>
    <row r="4">
      <c r="A4" t="inlineStr">
        <is>
          <t>ebarne26</t>
        </is>
      </c>
      <c r="B4" t="inlineStr">
        <is>
          <t>Barnes</t>
        </is>
      </c>
      <c r="C4" t="inlineStr">
        <is>
          <t>Ellie</t>
        </is>
      </c>
      <c r="D4" t="n">
        <v>22</v>
      </c>
      <c r="E4" t="n">
        <v>19</v>
      </c>
      <c r="F4" t="n">
        <v>20</v>
      </c>
      <c r="G4" t="n">
        <v>7</v>
      </c>
      <c r="H4" t="n">
        <v>14</v>
      </c>
      <c r="I4" t="n">
        <v>10</v>
      </c>
      <c r="J4" t="n">
        <v>0</v>
      </c>
      <c r="K4">
        <f>SUM(D4:I4)-IF(J4&gt;1,5*(J4-1),0)</f>
        <v/>
      </c>
      <c r="L4" t="inlineStr"/>
    </row>
    <row r="5">
      <c r="A5" t="inlineStr">
        <is>
          <t>lbarne46</t>
        </is>
      </c>
      <c r="B5" t="inlineStr">
        <is>
          <t>Barnes</t>
        </is>
      </c>
      <c r="C5" t="inlineStr">
        <is>
          <t>Lucas</t>
        </is>
      </c>
      <c r="D5" t="n">
        <v>22</v>
      </c>
      <c r="E5" t="n">
        <v>19</v>
      </c>
      <c r="F5" t="n">
        <v>14</v>
      </c>
      <c r="G5" t="n">
        <v>9</v>
      </c>
      <c r="H5" t="n">
        <v>14</v>
      </c>
      <c r="I5" t="n">
        <v>7</v>
      </c>
      <c r="J5" t="n">
        <v>0</v>
      </c>
      <c r="K5">
        <f>SUM(D5:I5)-IF(J5&gt;1,5*(J5-1),0)</f>
        <v/>
      </c>
      <c r="L5" t="inlineStr">
        <is>
          <t>hard-coded API key in config, -2</t>
        </is>
      </c>
    </row>
    <row r="6">
      <c r="A6" t="inlineStr">
        <is>
          <t>vbarne79</t>
        </is>
      </c>
      <c r="B6" t="inlineStr">
        <is>
          <t>Barnes</t>
        </is>
      </c>
      <c r="C6" t="inlineStr">
        <is>
          <t>Victor</t>
        </is>
      </c>
      <c r="D6" t="n">
        <v>24</v>
      </c>
      <c r="E6" t="n">
        <v>20</v>
      </c>
      <c r="F6" t="n">
        <v>14</v>
      </c>
      <c r="G6" t="n">
        <v>10</v>
      </c>
      <c r="H6" t="n">
        <v>15</v>
      </c>
      <c r="I6" t="n">
        <v>10</v>
      </c>
      <c r="J6" t="n">
        <v>0</v>
      </c>
      <c r="K6">
        <f>SUM(D6:I6)-IF(J6&gt;1,5*(J6-1),0)</f>
        <v/>
      </c>
      <c r="L6" t="inlineStr"/>
    </row>
    <row r="7">
      <c r="A7" t="inlineStr">
        <is>
          <t>jbenne73</t>
        </is>
      </c>
      <c r="B7" t="inlineStr">
        <is>
          <t>Bennett</t>
        </is>
      </c>
      <c r="C7" t="inlineStr">
        <is>
          <t>Jacob</t>
        </is>
      </c>
      <c r="D7" t="n">
        <v>24</v>
      </c>
      <c r="E7" t="n">
        <v>20</v>
      </c>
      <c r="F7" t="n">
        <v>19</v>
      </c>
      <c r="G7" t="n">
        <v>10</v>
      </c>
      <c r="H7" t="n">
        <v>10</v>
      </c>
      <c r="I7" t="n">
        <v>10</v>
      </c>
      <c r="J7" t="n">
        <v>0</v>
      </c>
      <c r="K7">
        <f>SUM(D7:I7)-IF(J7&gt;1,5*(J7-1),0)</f>
        <v/>
      </c>
      <c r="L7" t="inlineStr">
        <is>
          <t>hard-coded API key in config, -2</t>
        </is>
      </c>
    </row>
    <row r="8">
      <c r="A8" t="inlineStr">
        <is>
          <t>ecasti77</t>
        </is>
      </c>
      <c r="B8" t="inlineStr">
        <is>
          <t>Castillo</t>
        </is>
      </c>
      <c r="C8" t="inlineStr">
        <is>
          <t>Ethan</t>
        </is>
      </c>
      <c r="D8" t="n">
        <v>25</v>
      </c>
      <c r="E8" t="n">
        <v>19</v>
      </c>
      <c r="F8" t="n">
        <v>20</v>
      </c>
      <c r="G8" t="n">
        <v>9</v>
      </c>
      <c r="H8" t="n">
        <v>14</v>
      </c>
      <c r="I8" t="n">
        <v>7</v>
      </c>
      <c r="J8" t="n">
        <v>0</v>
      </c>
      <c r="K8">
        <f>SUM(D8:I8)-IF(J8&gt;1,5*(J8-1),0)</f>
        <v/>
      </c>
      <c r="L8" t="inlineStr"/>
    </row>
    <row r="9">
      <c r="A9" t="inlineStr">
        <is>
          <t>gcasti55</t>
        </is>
      </c>
      <c r="B9" t="inlineStr">
        <is>
          <t>Castillo</t>
        </is>
      </c>
      <c r="C9" t="inlineStr">
        <is>
          <t>Grace</t>
        </is>
      </c>
      <c r="D9" t="n">
        <v>24</v>
      </c>
      <c r="E9" t="n">
        <v>19</v>
      </c>
      <c r="F9" t="n">
        <v>20</v>
      </c>
      <c r="G9" t="n">
        <v>9</v>
      </c>
      <c r="H9" t="n">
        <v>14</v>
      </c>
      <c r="I9" t="n">
        <v>7</v>
      </c>
      <c r="J9" t="n">
        <v>0</v>
      </c>
      <c r="K9">
        <f>SUM(D9:I9)-IF(J9&gt;1,5*(J9-1),0)</f>
        <v/>
      </c>
      <c r="L9" t="inlineStr"/>
    </row>
    <row r="10">
      <c r="A10" t="inlineStr">
        <is>
          <t>lcasti27</t>
        </is>
      </c>
      <c r="B10" t="inlineStr">
        <is>
          <t>Castillo</t>
        </is>
      </c>
      <c r="C10" t="inlineStr">
        <is>
          <t>Leah</t>
        </is>
      </c>
      <c r="D10" t="n">
        <v>24</v>
      </c>
      <c r="E10" t="n">
        <v>20</v>
      </c>
      <c r="F10" t="n">
        <v>19</v>
      </c>
      <c r="G10" t="n">
        <v>10</v>
      </c>
      <c r="H10" t="n">
        <v>13</v>
      </c>
      <c r="I10" t="n">
        <v>10</v>
      </c>
      <c r="J10" t="n">
        <v>0</v>
      </c>
      <c r="K10">
        <f>SUM(D10:I10)-IF(J10&gt;1,5*(J10-1),0)</f>
        <v/>
      </c>
      <c r="L10" t="inlineStr">
        <is>
          <t>no error handling on fetch</t>
        </is>
      </c>
    </row>
    <row r="11">
      <c r="A11" t="inlineStr">
        <is>
          <t>rchowd60</t>
        </is>
      </c>
      <c r="B11" t="inlineStr">
        <is>
          <t>Chowdhury</t>
        </is>
      </c>
      <c r="C11" t="inlineStr">
        <is>
          <t>Rosa</t>
        </is>
      </c>
      <c r="D11" t="n">
        <v>22</v>
      </c>
      <c r="E11" t="n">
        <v>20</v>
      </c>
      <c r="F11" t="n">
        <v>14</v>
      </c>
      <c r="G11" t="n">
        <v>10</v>
      </c>
      <c r="H11" t="n">
        <v>15</v>
      </c>
      <c r="I11" t="n">
        <v>8</v>
      </c>
      <c r="J11" t="n">
        <v>0</v>
      </c>
      <c r="K11">
        <f>SUM(D11:I11)-IF(J11&gt;1,5*(J11-1),0)</f>
        <v/>
      </c>
      <c r="L11" t="inlineStr">
        <is>
          <t>README missing run instructions</t>
        </is>
      </c>
    </row>
    <row r="12">
      <c r="A12" t="inlineStr">
        <is>
          <t>cdawso9</t>
        </is>
      </c>
      <c r="B12" t="inlineStr">
        <is>
          <t>Dawson</t>
        </is>
      </c>
      <c r="C12" t="inlineStr">
        <is>
          <t>Chloe</t>
        </is>
      </c>
      <c r="D12" t="n">
        <v>25</v>
      </c>
      <c r="E12" t="n">
        <v>19</v>
      </c>
      <c r="F12" t="n">
        <v>14</v>
      </c>
      <c r="G12" t="n">
        <v>8</v>
      </c>
      <c r="H12" t="n">
        <v>14</v>
      </c>
      <c r="I12" t="n">
        <v>7</v>
      </c>
      <c r="J12" t="n">
        <v>0</v>
      </c>
      <c r="K12">
        <f>SUM(D12:I12)-IF(J12&gt;1,5*(J12-1),0)</f>
        <v/>
      </c>
      <c r="L12" t="inlineStr">
        <is>
          <t>routes not RESTful</t>
        </is>
      </c>
    </row>
    <row r="13">
      <c r="A13" t="inlineStr">
        <is>
          <t>gdawso56</t>
        </is>
      </c>
      <c r="B13" t="inlineStr">
        <is>
          <t>Dawson</t>
        </is>
      </c>
      <c r="C13" t="inlineStr">
        <is>
          <t>Grace</t>
        </is>
      </c>
      <c r="D13" t="n">
        <v>25</v>
      </c>
      <c r="E13" t="n">
        <v>20</v>
      </c>
      <c r="F13" t="n">
        <v>20</v>
      </c>
      <c r="G13" t="n">
        <v>10</v>
      </c>
      <c r="H13" t="n">
        <v>13</v>
      </c>
      <c r="I13" t="n">
        <v>7</v>
      </c>
      <c r="J13" t="n">
        <v>0</v>
      </c>
      <c r="K13">
        <f>SUM(D13:I13)-IF(J13&gt;1,5*(J13-1),0)</f>
        <v/>
      </c>
      <c r="L13" t="inlineStr">
        <is>
          <t>no error handling on fetch</t>
        </is>
      </c>
    </row>
    <row r="14">
      <c r="A14" t="inlineStr">
        <is>
          <t>ldawso94</t>
        </is>
      </c>
      <c r="B14" t="inlineStr">
        <is>
          <t>Dawson</t>
        </is>
      </c>
      <c r="C14" t="inlineStr">
        <is>
          <t>Logan</t>
        </is>
      </c>
      <c r="D14" t="n">
        <v>25</v>
      </c>
      <c r="E14" t="n">
        <v>19</v>
      </c>
      <c r="F14" t="n">
        <v>17</v>
      </c>
      <c r="G14" t="n">
        <v>10</v>
      </c>
      <c r="H14" t="n">
        <v>15</v>
      </c>
      <c r="I14" t="n">
        <v>10</v>
      </c>
      <c r="J14" t="n">
        <v>0</v>
      </c>
      <c r="K14">
        <f>SUM(D14:I14)-IF(J14&gt;1,5*(J14-1),0)</f>
        <v/>
      </c>
      <c r="L14" t="inlineStr">
        <is>
          <t>no error handling on fetch</t>
        </is>
      </c>
    </row>
    <row r="15">
      <c r="A15" t="inlineStr">
        <is>
          <t>rdawso79</t>
        </is>
      </c>
      <c r="B15" t="inlineStr">
        <is>
          <t>Dawson</t>
        </is>
      </c>
      <c r="C15" t="inlineStr">
        <is>
          <t>Ryan</t>
        </is>
      </c>
      <c r="D15" t="n">
        <v>22</v>
      </c>
      <c r="E15" t="n">
        <v>18</v>
      </c>
      <c r="F15" t="n">
        <v>20</v>
      </c>
      <c r="G15" t="n">
        <v>9</v>
      </c>
      <c r="H15" t="n">
        <v>14</v>
      </c>
      <c r="I15" t="n">
        <v>10</v>
      </c>
      <c r="J15" t="n">
        <v>0</v>
      </c>
      <c r="K15">
        <f>SUM(D15:I15)-IF(J15&gt;1,5*(J15-1),0)</f>
        <v/>
      </c>
      <c r="L15" t="inlineStr"/>
    </row>
    <row r="16">
      <c r="A16" t="inlineStr">
        <is>
          <t>mdelga29</t>
        </is>
      </c>
      <c r="B16" t="inlineStr">
        <is>
          <t>Delgado</t>
        </is>
      </c>
      <c r="C16" t="inlineStr">
        <is>
          <t>Maya</t>
        </is>
      </c>
      <c r="D16" t="n">
        <v>24</v>
      </c>
      <c r="E16" t="n">
        <v>17</v>
      </c>
      <c r="F16" t="n">
        <v>20</v>
      </c>
      <c r="G16" t="n">
        <v>8</v>
      </c>
      <c r="H16" t="n">
        <v>13</v>
      </c>
      <c r="I16" t="n">
        <v>7</v>
      </c>
      <c r="J16" t="n">
        <v>0</v>
      </c>
      <c r="K16">
        <f>SUM(D16:I16)-IF(J16&gt;1,5*(J16-1),0)</f>
        <v/>
      </c>
      <c r="L16" t="inlineStr">
        <is>
          <t>hard-coded API key in config, -2</t>
        </is>
      </c>
    </row>
    <row r="17">
      <c r="A17" t="inlineStr">
        <is>
          <t>dellis12</t>
        </is>
      </c>
      <c r="B17" t="inlineStr">
        <is>
          <t>Ellis</t>
        </is>
      </c>
      <c r="C17" t="inlineStr">
        <is>
          <t>Daniel</t>
        </is>
      </c>
      <c r="D17" t="n">
        <v>24</v>
      </c>
      <c r="E17" t="n">
        <v>18</v>
      </c>
      <c r="F17" t="n">
        <v>20</v>
      </c>
      <c r="G17" t="n">
        <v>9</v>
      </c>
      <c r="H17" t="n">
        <v>12</v>
      </c>
      <c r="I17" t="n">
        <v>10</v>
      </c>
      <c r="J17" t="n">
        <v>0</v>
      </c>
      <c r="K17">
        <f>SUM(D17:I17)-IF(J17&gt;1,5*(J17-1),0)</f>
        <v/>
      </c>
      <c r="L17" t="inlineStr">
        <is>
          <t>routes not RESTful</t>
        </is>
      </c>
    </row>
    <row r="18">
      <c r="A18" t="inlineStr">
        <is>
          <t>cfitzg19</t>
        </is>
      </c>
      <c r="B18" t="inlineStr">
        <is>
          <t>Fitzgerald</t>
        </is>
      </c>
      <c r="C18" t="inlineStr">
        <is>
          <t>Caleb</t>
        </is>
      </c>
      <c r="D18" t="n">
        <v>25</v>
      </c>
      <c r="E18" t="n">
        <v>14</v>
      </c>
      <c r="F18" t="n">
        <v>17</v>
      </c>
      <c r="G18" t="n">
        <v>7</v>
      </c>
      <c r="H18" t="n">
        <v>15</v>
      </c>
      <c r="I18" t="n">
        <v>8</v>
      </c>
      <c r="J18" t="n">
        <v>0</v>
      </c>
      <c r="K18">
        <f>SUM(D18:I18)-IF(J18&gt;1,5*(J18-1),0)</f>
        <v/>
      </c>
      <c r="L18" t="inlineStr">
        <is>
          <t>nice test coverage</t>
        </is>
      </c>
    </row>
    <row r="19">
      <c r="A19" t="inlineStr">
        <is>
          <t>efitzg9</t>
        </is>
      </c>
      <c r="B19" t="inlineStr">
        <is>
          <t>Fitzgerald</t>
        </is>
      </c>
      <c r="C19" t="inlineStr">
        <is>
          <t>Ethan</t>
        </is>
      </c>
      <c r="D19" t="n">
        <v>25</v>
      </c>
      <c r="E19" t="n">
        <v>18</v>
      </c>
      <c r="F19" t="n">
        <v>20</v>
      </c>
      <c r="G19" t="n">
        <v>10</v>
      </c>
      <c r="H19" t="n">
        <v>12</v>
      </c>
      <c r="I19" t="n">
        <v>7</v>
      </c>
      <c r="J19" t="n">
        <v>0</v>
      </c>
      <c r="K19">
        <f>SUM(D19:I19)-IF(J19&gt;1,5*(J19-1),0)</f>
        <v/>
      </c>
      <c r="L19" t="inlineStr">
        <is>
          <t>hard-coded API key in config, -2</t>
        </is>
      </c>
    </row>
    <row r="20">
      <c r="A20" t="inlineStr">
        <is>
          <t>vfitzg44</t>
        </is>
      </c>
      <c r="B20" t="inlineStr">
        <is>
          <t>Fitzgerald</t>
        </is>
      </c>
      <c r="C20" t="inlineStr">
        <is>
          <t>Victor</t>
        </is>
      </c>
      <c r="D20" t="n">
        <v>17</v>
      </c>
      <c r="E20" t="n">
        <v>19</v>
      </c>
      <c r="F20" t="n">
        <v>20</v>
      </c>
      <c r="G20" t="n">
        <v>8</v>
      </c>
      <c r="H20" t="n">
        <v>15</v>
      </c>
      <c r="I20" t="n">
        <v>10</v>
      </c>
      <c r="J20" t="n">
        <v>2</v>
      </c>
      <c r="K20">
        <f>SUM(D20:I20)-IF(J20&gt;1,5*(J20-1),0)</f>
        <v/>
      </c>
      <c r="L20" t="inlineStr">
        <is>
          <t>nice test coverage</t>
        </is>
      </c>
    </row>
    <row r="21">
      <c r="A21" t="inlineStr">
        <is>
          <t>nfoste50</t>
        </is>
      </c>
      <c r="B21" t="inlineStr">
        <is>
          <t>Foster</t>
        </is>
      </c>
      <c r="C21" t="inlineStr">
        <is>
          <t>Noah</t>
        </is>
      </c>
      <c r="D21" t="n">
        <v>25</v>
      </c>
      <c r="E21" t="n">
        <v>19</v>
      </c>
      <c r="F21" t="n">
        <v>19</v>
      </c>
      <c r="G21" t="n">
        <v>10</v>
      </c>
      <c r="H21" t="n">
        <v>15</v>
      </c>
      <c r="I21" t="n">
        <v>10</v>
      </c>
      <c r="J21" t="n">
        <v>0</v>
      </c>
      <c r="K21">
        <f>SUM(D21:I21)-IF(J21&gt;1,5*(J21-1),0)</f>
        <v/>
      </c>
      <c r="L21" t="inlineStr"/>
    </row>
    <row r="22">
      <c r="A22" t="inlineStr">
        <is>
          <t>agreen67</t>
        </is>
      </c>
      <c r="B22" t="inlineStr">
        <is>
          <t>Greene</t>
        </is>
      </c>
      <c r="C22" t="inlineStr">
        <is>
          <t>Arjun</t>
        </is>
      </c>
      <c r="D22" t="n">
        <v>24</v>
      </c>
      <c r="E22" t="n">
        <v>18</v>
      </c>
      <c r="F22" t="n">
        <v>17</v>
      </c>
      <c r="G22" t="n">
        <v>10</v>
      </c>
      <c r="H22" t="n">
        <v>13</v>
      </c>
      <c r="I22" t="n">
        <v>9</v>
      </c>
      <c r="J22" t="n">
        <v>0</v>
      </c>
      <c r="K22">
        <f>SUM(D22:I22)-IF(J22&gt;1,5*(J22-1),0)</f>
        <v/>
      </c>
      <c r="L22" t="inlineStr"/>
    </row>
    <row r="23">
      <c r="A23" t="inlineStr">
        <is>
          <t>igreen46</t>
        </is>
      </c>
      <c r="B23" t="inlineStr">
        <is>
          <t>Greene</t>
        </is>
      </c>
      <c r="C23" t="inlineStr">
        <is>
          <t>Isabel</t>
        </is>
      </c>
      <c r="D23" t="n">
        <v>25</v>
      </c>
      <c r="E23" t="n">
        <v>20</v>
      </c>
      <c r="F23" t="n">
        <v>14</v>
      </c>
      <c r="G23" t="n">
        <v>8</v>
      </c>
      <c r="H23" t="n">
        <v>13</v>
      </c>
      <c r="I23" t="n">
        <v>8</v>
      </c>
      <c r="J23" t="n">
        <v>0</v>
      </c>
      <c r="K23">
        <f>SUM(D23:I23)-IF(J23&gt;1,5*(J23-1),0)</f>
        <v/>
      </c>
      <c r="L23" t="inlineStr">
        <is>
          <t>great UI polish</t>
        </is>
      </c>
    </row>
    <row r="24">
      <c r="A24" t="inlineStr">
        <is>
          <t>mgreen47</t>
        </is>
      </c>
      <c r="B24" t="inlineStr">
        <is>
          <t>Greene</t>
        </is>
      </c>
      <c r="C24" t="inlineStr">
        <is>
          <t>Marco</t>
        </is>
      </c>
      <c r="D24" t="n">
        <v>24</v>
      </c>
      <c r="E24" t="n">
        <v>20</v>
      </c>
      <c r="F24" t="n">
        <v>14</v>
      </c>
      <c r="G24" t="n">
        <v>9</v>
      </c>
      <c r="H24" t="n">
        <v>14</v>
      </c>
      <c r="I24" t="n">
        <v>8</v>
      </c>
      <c r="J24" t="n">
        <v>0</v>
      </c>
      <c r="K24">
        <f>SUM(D24:I24)-IF(J24&gt;1,5*(J24-1),0)</f>
        <v/>
      </c>
      <c r="L24" t="inlineStr"/>
    </row>
    <row r="25">
      <c r="A25" t="inlineStr">
        <is>
          <t>agupta99</t>
        </is>
      </c>
      <c r="B25" t="inlineStr">
        <is>
          <t>Gupta</t>
        </is>
      </c>
      <c r="C25" t="inlineStr">
        <is>
          <t>Anika</t>
        </is>
      </c>
      <c r="D25" t="n">
        <v>22</v>
      </c>
      <c r="E25" t="n">
        <v>14</v>
      </c>
      <c r="F25" t="n">
        <v>20</v>
      </c>
      <c r="G25" t="n">
        <v>9</v>
      </c>
      <c r="H25" t="n">
        <v>15</v>
      </c>
      <c r="I25" t="n">
        <v>7</v>
      </c>
      <c r="J25" t="n">
        <v>0</v>
      </c>
      <c r="K25">
        <f>SUM(D25:I25)-IF(J25&gt;1,5*(J25-1),0)</f>
        <v/>
      </c>
      <c r="L25" t="inlineStr"/>
    </row>
    <row r="26">
      <c r="A26" t="inlineStr">
        <is>
          <t>khale16</t>
        </is>
      </c>
      <c r="B26" t="inlineStr">
        <is>
          <t>Hale</t>
        </is>
      </c>
      <c r="C26" t="inlineStr">
        <is>
          <t>Kyle</t>
        </is>
      </c>
      <c r="D26" t="n">
        <v>25</v>
      </c>
      <c r="E26" t="n">
        <v>14</v>
      </c>
      <c r="F26" t="n">
        <v>20</v>
      </c>
      <c r="G26" t="n">
        <v>9</v>
      </c>
      <c r="H26" t="n">
        <v>14</v>
      </c>
      <c r="I26" t="n">
        <v>9</v>
      </c>
      <c r="J26" t="n">
        <v>0</v>
      </c>
      <c r="K26">
        <f>SUM(D26:I26)-IF(J26&gt;1,5*(J26-1),0)</f>
        <v/>
      </c>
      <c r="L26" t="inlineStr">
        <is>
          <t>routes not RESTful</t>
        </is>
      </c>
    </row>
    <row r="27">
      <c r="A27" t="inlineStr">
        <is>
          <t>shale29</t>
        </is>
      </c>
      <c r="B27" t="inlineStr">
        <is>
          <t>Hale</t>
        </is>
      </c>
      <c r="C27" t="inlineStr">
        <is>
          <t>Sofia</t>
        </is>
      </c>
      <c r="D27" t="n">
        <v>25</v>
      </c>
      <c r="E27" t="n">
        <v>17</v>
      </c>
      <c r="F27" t="n">
        <v>17</v>
      </c>
      <c r="G27" t="n">
        <v>10</v>
      </c>
      <c r="H27" t="n">
        <v>15</v>
      </c>
      <c r="I27" t="n">
        <v>9</v>
      </c>
      <c r="J27" t="n">
        <v>0</v>
      </c>
      <c r="K27">
        <f>SUM(D27:I27)-IF(J27&gt;1,5*(J27-1),0)</f>
        <v/>
      </c>
      <c r="L27" t="inlineStr">
        <is>
          <t>hard-coded API key in config, -2</t>
        </is>
      </c>
    </row>
    <row r="28">
      <c r="A28" t="inlineStr">
        <is>
          <t>nholt27</t>
        </is>
      </c>
      <c r="B28" t="inlineStr">
        <is>
          <t>Holt</t>
        </is>
      </c>
      <c r="C28" t="inlineStr">
        <is>
          <t>Noah</t>
        </is>
      </c>
      <c r="D28" t="n">
        <v>17</v>
      </c>
      <c r="E28" t="n">
        <v>17</v>
      </c>
      <c r="F28" t="n">
        <v>14</v>
      </c>
      <c r="G28" t="n">
        <v>7</v>
      </c>
      <c r="H28" t="n">
        <v>15</v>
      </c>
      <c r="I28" t="n">
        <v>9</v>
      </c>
      <c r="J28" t="n">
        <v>0</v>
      </c>
      <c r="K28">
        <f>SUM(D28:I28)-IF(J28&gt;1,5*(J28-1),0)</f>
        <v/>
      </c>
      <c r="L28" t="inlineStr">
        <is>
          <t>no error handling on fetch</t>
        </is>
      </c>
    </row>
    <row r="29">
      <c r="A29" t="inlineStr">
        <is>
          <t>aiqbal87</t>
        </is>
      </c>
      <c r="B29" t="inlineStr">
        <is>
          <t>Iqbal</t>
        </is>
      </c>
      <c r="C29" t="inlineStr">
        <is>
          <t>Anika</t>
        </is>
      </c>
      <c r="D29" t="n">
        <v>25</v>
      </c>
      <c r="E29" t="n">
        <v>19</v>
      </c>
      <c r="F29" t="n">
        <v>14</v>
      </c>
      <c r="G29" t="n">
        <v>10</v>
      </c>
      <c r="H29" t="n">
        <v>15</v>
      </c>
      <c r="I29" t="n">
        <v>9</v>
      </c>
      <c r="J29" t="n">
        <v>0</v>
      </c>
      <c r="K29">
        <f>SUM(D29:I29)-IF(J29&gt;1,5*(J29-1),0)</f>
        <v/>
      </c>
      <c r="L29" t="inlineStr"/>
    </row>
    <row r="30">
      <c r="A30" t="inlineStr">
        <is>
          <t>ciqbal17</t>
        </is>
      </c>
      <c r="B30" t="inlineStr">
        <is>
          <t>Iqbal</t>
        </is>
      </c>
      <c r="C30" t="inlineStr">
        <is>
          <t>Caleb</t>
        </is>
      </c>
      <c r="D30" t="n">
        <v>23</v>
      </c>
      <c r="E30" t="n">
        <v>20</v>
      </c>
      <c r="F30" t="n">
        <v>17</v>
      </c>
      <c r="G30" t="n">
        <v>10</v>
      </c>
      <c r="H30" t="n">
        <v>13</v>
      </c>
      <c r="I30" t="n">
        <v>10</v>
      </c>
      <c r="J30" t="n">
        <v>0</v>
      </c>
      <c r="K30">
        <f>SUM(D30:I30)-IF(J30&gt;1,5*(J30-1),0)</f>
        <v/>
      </c>
      <c r="L30" t="inlineStr">
        <is>
          <t>no error handling on fetch</t>
        </is>
      </c>
    </row>
    <row r="31">
      <c r="A31" t="inlineStr">
        <is>
          <t>bjense80</t>
        </is>
      </c>
      <c r="B31" t="inlineStr">
        <is>
          <t>Jensen</t>
        </is>
      </c>
      <c r="C31" t="inlineStr">
        <is>
          <t>Ben</t>
        </is>
      </c>
      <c r="D31" t="n">
        <v>24</v>
      </c>
      <c r="E31" t="n">
        <v>20</v>
      </c>
      <c r="F31" t="n">
        <v>19</v>
      </c>
      <c r="G31" t="n">
        <v>10</v>
      </c>
      <c r="H31" t="n">
        <v>10</v>
      </c>
      <c r="I31" t="n">
        <v>8</v>
      </c>
      <c r="J31" t="n">
        <v>0</v>
      </c>
      <c r="K31">
        <f>SUM(D31:I31)-IF(J31&gt;1,5*(J31-1),0)</f>
        <v/>
      </c>
      <c r="L31" t="inlineStr">
        <is>
          <t>hard-coded API key in config, -2</t>
        </is>
      </c>
    </row>
    <row r="32">
      <c r="A32" t="inlineStr">
        <is>
          <t>kjense36</t>
        </is>
      </c>
      <c r="B32" t="inlineStr">
        <is>
          <t>Jensen</t>
        </is>
      </c>
      <c r="C32" t="inlineStr">
        <is>
          <t>Kyle</t>
        </is>
      </c>
      <c r="D32" t="n">
        <v>24</v>
      </c>
      <c r="E32" t="n">
        <v>20</v>
      </c>
      <c r="F32" t="n">
        <v>18</v>
      </c>
      <c r="G32" t="n">
        <v>7</v>
      </c>
      <c r="H32" t="n">
        <v>14</v>
      </c>
      <c r="I32" t="n">
        <v>10</v>
      </c>
      <c r="J32" t="n">
        <v>0</v>
      </c>
      <c r="K32">
        <f>SUM(D32:I32)-IF(J32&gt;1,5*(J32-1),0)</f>
        <v/>
      </c>
      <c r="L32" t="inlineStr">
        <is>
          <t>no error handling on fetch</t>
        </is>
      </c>
    </row>
    <row r="33">
      <c r="A33" t="inlineStr">
        <is>
          <t>ljense7</t>
        </is>
      </c>
      <c r="B33" t="inlineStr">
        <is>
          <t>Jensen</t>
        </is>
      </c>
      <c r="C33" t="inlineStr">
        <is>
          <t>Leah</t>
        </is>
      </c>
      <c r="D33" t="n">
        <v>25</v>
      </c>
      <c r="E33" t="n">
        <v>20</v>
      </c>
      <c r="F33" t="n">
        <v>17</v>
      </c>
      <c r="G33" t="n">
        <v>9</v>
      </c>
      <c r="H33" t="n">
        <v>14</v>
      </c>
      <c r="I33" t="n">
        <v>9</v>
      </c>
      <c r="J33" t="n">
        <v>0</v>
      </c>
      <c r="K33">
        <f>SUM(D33:I33)-IF(J33&gt;1,5*(J33-1),0)</f>
        <v/>
      </c>
      <c r="L33" t="inlineStr">
        <is>
          <t>nice test coverage</t>
        </is>
      </c>
    </row>
    <row r="34">
      <c r="A34" t="inlineStr">
        <is>
          <t>kjorda48</t>
        </is>
      </c>
      <c r="B34" t="inlineStr">
        <is>
          <t>Jordan</t>
        </is>
      </c>
      <c r="C34" t="inlineStr">
        <is>
          <t>Kyle</t>
        </is>
      </c>
      <c r="D34" t="n">
        <v>22</v>
      </c>
      <c r="E34" t="n">
        <v>20</v>
      </c>
      <c r="F34" t="n">
        <v>20</v>
      </c>
      <c r="G34" t="n">
        <v>10</v>
      </c>
      <c r="H34" t="n">
        <v>10</v>
      </c>
      <c r="I34" t="n">
        <v>10</v>
      </c>
      <c r="J34" t="n">
        <v>0</v>
      </c>
      <c r="K34">
        <f>SUM(D34:I34)-IF(J34&gt;1,5*(J34-1),0)</f>
        <v/>
      </c>
      <c r="L34" t="inlineStr">
        <is>
          <t>nice test coverage</t>
        </is>
      </c>
    </row>
    <row r="35">
      <c r="A35" t="inlineStr">
        <is>
          <t>mkaur50</t>
        </is>
      </c>
      <c r="B35" t="inlineStr">
        <is>
          <t>Kaur</t>
        </is>
      </c>
      <c r="C35" t="inlineStr">
        <is>
          <t>Marco</t>
        </is>
      </c>
      <c r="D35" t="n">
        <v>22</v>
      </c>
      <c r="E35" t="n">
        <v>14</v>
      </c>
      <c r="F35" t="n">
        <v>20</v>
      </c>
      <c r="G35" t="n">
        <v>10</v>
      </c>
      <c r="H35" t="n">
        <v>15</v>
      </c>
      <c r="I35" t="n">
        <v>9</v>
      </c>
      <c r="J35" t="n">
        <v>0</v>
      </c>
      <c r="K35">
        <f>SUM(D35:I35)-IF(J35&gt;1,5*(J35-1),0)</f>
        <v/>
      </c>
      <c r="L35" t="inlineStr"/>
    </row>
    <row r="36">
      <c r="A36" t="inlineStr">
        <is>
          <t>bkowal95</t>
        </is>
      </c>
      <c r="B36" t="inlineStr">
        <is>
          <t>Kowalski</t>
        </is>
      </c>
      <c r="C36" t="inlineStr">
        <is>
          <t>Ben</t>
        </is>
      </c>
      <c r="D36" t="n">
        <v>22</v>
      </c>
      <c r="E36" t="n">
        <v>20</v>
      </c>
      <c r="F36" t="n">
        <v>20</v>
      </c>
      <c r="G36" t="n">
        <v>9</v>
      </c>
      <c r="H36" t="n">
        <v>15</v>
      </c>
      <c r="I36" t="n">
        <v>10</v>
      </c>
      <c r="J36" t="n">
        <v>2</v>
      </c>
      <c r="K36">
        <f>SUM(D36:I36)-IF(J36&gt;1,5*(J36-1),0)</f>
        <v/>
      </c>
      <c r="L36" t="inlineStr">
        <is>
          <t>nice test coverage</t>
        </is>
      </c>
    </row>
    <row r="37">
      <c r="A37" t="inlineStr">
        <is>
          <t>nkowal51</t>
        </is>
      </c>
      <c r="B37" t="inlineStr">
        <is>
          <t>Kowalski</t>
        </is>
      </c>
      <c r="C37" t="inlineStr">
        <is>
          <t>Nadia</t>
        </is>
      </c>
      <c r="D37" t="n">
        <v>24</v>
      </c>
      <c r="E37" t="n">
        <v>20</v>
      </c>
      <c r="F37" t="n">
        <v>20</v>
      </c>
      <c r="G37" t="n">
        <v>8</v>
      </c>
      <c r="H37" t="n">
        <v>14</v>
      </c>
      <c r="I37" t="n">
        <v>10</v>
      </c>
      <c r="J37" t="n">
        <v>0</v>
      </c>
      <c r="K37">
        <f>SUM(D37:I37)-IF(J37&gt;1,5*(J37-1),0)</f>
        <v/>
      </c>
      <c r="L37" t="inlineStr"/>
    </row>
    <row r="38">
      <c r="A38" t="inlineStr">
        <is>
          <t>okowal27</t>
        </is>
      </c>
      <c r="B38" t="inlineStr">
        <is>
          <t>Kowalski</t>
        </is>
      </c>
      <c r="C38" t="inlineStr">
        <is>
          <t>Owen</t>
        </is>
      </c>
      <c r="D38" t="n">
        <v>24</v>
      </c>
      <c r="E38" t="n">
        <v>14</v>
      </c>
      <c r="F38" t="n">
        <v>19</v>
      </c>
      <c r="G38" t="n">
        <v>10</v>
      </c>
      <c r="H38" t="n">
        <v>15</v>
      </c>
      <c r="I38" t="n">
        <v>9</v>
      </c>
      <c r="J38" t="n">
        <v>2</v>
      </c>
      <c r="K38">
        <f>SUM(D38:I38)-IF(J38&gt;1,5*(J38-1),0)</f>
        <v/>
      </c>
      <c r="L38" t="inlineStr">
        <is>
          <t>nice test coverage</t>
        </is>
      </c>
    </row>
    <row r="39">
      <c r="A39" t="inlineStr">
        <is>
          <t>skowal11</t>
        </is>
      </c>
      <c r="B39" t="inlineStr">
        <is>
          <t>Kowalski</t>
        </is>
      </c>
      <c r="C39" t="inlineStr">
        <is>
          <t>Sara</t>
        </is>
      </c>
      <c r="D39" t="n">
        <v>17</v>
      </c>
      <c r="E39" t="n">
        <v>14</v>
      </c>
      <c r="F39" t="n">
        <v>20</v>
      </c>
      <c r="G39" t="n">
        <v>8</v>
      </c>
      <c r="H39" t="n">
        <v>15</v>
      </c>
      <c r="I39" t="n">
        <v>7</v>
      </c>
      <c r="J39" t="n">
        <v>0</v>
      </c>
      <c r="K39">
        <f>SUM(D39:I39)-IF(J39&gt;1,5*(J39-1),0)</f>
        <v/>
      </c>
      <c r="L39" t="inlineStr">
        <is>
          <t>great UI polish</t>
        </is>
      </c>
    </row>
    <row r="40">
      <c r="A40" t="inlineStr">
        <is>
          <t>dlowe11</t>
        </is>
      </c>
      <c r="B40" t="inlineStr">
        <is>
          <t>Lowe</t>
        </is>
      </c>
      <c r="C40" t="inlineStr">
        <is>
          <t>Daniel</t>
        </is>
      </c>
      <c r="D40" t="n">
        <v>24</v>
      </c>
      <c r="E40" t="n">
        <v>19</v>
      </c>
      <c r="F40" t="n">
        <v>20</v>
      </c>
      <c r="G40" t="n">
        <v>10</v>
      </c>
      <c r="H40" t="n">
        <v>12</v>
      </c>
      <c r="I40" t="n">
        <v>10</v>
      </c>
      <c r="J40" t="n">
        <v>0</v>
      </c>
      <c r="K40">
        <f>SUM(D40:I40)-IF(J40&gt;1,5*(J40-1),0)</f>
        <v/>
      </c>
      <c r="L40" t="inlineStr"/>
    </row>
    <row r="41">
      <c r="A41" t="inlineStr">
        <is>
          <t>elowe23</t>
        </is>
      </c>
      <c r="B41" t="inlineStr">
        <is>
          <t>Lowe</t>
        </is>
      </c>
      <c r="C41" t="inlineStr">
        <is>
          <t>Emily</t>
        </is>
      </c>
      <c r="D41" t="n">
        <v>24</v>
      </c>
      <c r="E41" t="n">
        <v>18</v>
      </c>
      <c r="F41" t="n">
        <v>17</v>
      </c>
      <c r="G41" t="n">
        <v>7</v>
      </c>
      <c r="H41" t="n">
        <v>10</v>
      </c>
      <c r="I41" t="n">
        <v>10</v>
      </c>
      <c r="J41" t="n">
        <v>0</v>
      </c>
      <c r="K41">
        <f>SUM(D41:I41)-IF(J41&gt;1,5*(J41-1),0)</f>
        <v/>
      </c>
      <c r="L41" t="inlineStr"/>
    </row>
    <row r="42">
      <c r="A42" t="inlineStr">
        <is>
          <t>jlowe60</t>
        </is>
      </c>
      <c r="B42" t="inlineStr">
        <is>
          <t>Lowe</t>
        </is>
      </c>
      <c r="C42" t="inlineStr">
        <is>
          <t>Jacob</t>
        </is>
      </c>
      <c r="D42" t="n">
        <v>25</v>
      </c>
      <c r="E42" t="n">
        <v>20</v>
      </c>
      <c r="F42" t="n">
        <v>18</v>
      </c>
      <c r="G42" t="n">
        <v>10</v>
      </c>
      <c r="H42" t="n">
        <v>10</v>
      </c>
      <c r="I42" t="n">
        <v>10</v>
      </c>
      <c r="J42" t="n">
        <v>0</v>
      </c>
      <c r="K42">
        <f>SUM(D42:I42)-IF(J42&gt;1,5*(J42-1),0)</f>
        <v/>
      </c>
      <c r="L42" t="inlineStr">
        <is>
          <t>hard-coded API key in config, -2</t>
        </is>
      </c>
    </row>
    <row r="43">
      <c r="A43" t="inlineStr">
        <is>
          <t>emendo45</t>
        </is>
      </c>
      <c r="B43" t="inlineStr">
        <is>
          <t>Mendoza</t>
        </is>
      </c>
      <c r="C43" t="inlineStr">
        <is>
          <t>Ellie</t>
        </is>
      </c>
      <c r="D43" t="n">
        <v>24</v>
      </c>
      <c r="E43" t="n">
        <v>18</v>
      </c>
      <c r="F43" t="n">
        <v>14</v>
      </c>
      <c r="G43" t="n">
        <v>7</v>
      </c>
      <c r="H43" t="n">
        <v>15</v>
      </c>
      <c r="I43" t="n">
        <v>9</v>
      </c>
      <c r="J43" t="n">
        <v>0</v>
      </c>
      <c r="K43">
        <f>SUM(D43:I43)-IF(J43&gt;1,5*(J43-1),0)</f>
        <v/>
      </c>
      <c r="L43" t="inlineStr"/>
    </row>
    <row r="44">
      <c r="A44" t="inlineStr">
        <is>
          <t>mmendo55</t>
        </is>
      </c>
      <c r="B44" t="inlineStr">
        <is>
          <t>Mendoza</t>
        </is>
      </c>
      <c r="C44" t="inlineStr">
        <is>
          <t>Mason</t>
        </is>
      </c>
      <c r="D44" t="n">
        <v>25</v>
      </c>
      <c r="E44" t="n">
        <v>17</v>
      </c>
      <c r="F44" t="n">
        <v>18</v>
      </c>
      <c r="G44" t="n">
        <v>9</v>
      </c>
      <c r="H44" t="n">
        <v>15</v>
      </c>
      <c r="I44" t="n">
        <v>10</v>
      </c>
      <c r="J44" t="n">
        <v>0</v>
      </c>
      <c r="K44">
        <f>SUM(D44:I44)-IF(J44&gt;1,5*(J44-1),0)</f>
        <v/>
      </c>
      <c r="L44" t="inlineStr"/>
    </row>
    <row r="45">
      <c r="A45" t="inlineStr">
        <is>
          <t>jnakam87</t>
        </is>
      </c>
      <c r="B45" t="inlineStr">
        <is>
          <t>Nakamura</t>
        </is>
      </c>
      <c r="C45" t="inlineStr">
        <is>
          <t>Jacob</t>
        </is>
      </c>
      <c r="D45" t="n">
        <v>22</v>
      </c>
      <c r="E45" t="n">
        <v>17</v>
      </c>
      <c r="F45" t="n">
        <v>19</v>
      </c>
      <c r="G45" t="n">
        <v>10</v>
      </c>
      <c r="H45" t="n">
        <v>15</v>
      </c>
      <c r="I45" t="n">
        <v>9</v>
      </c>
      <c r="J45" t="n">
        <v>0</v>
      </c>
      <c r="K45">
        <f>SUM(D45:I45)-IF(J45&gt;1,5*(J45-1),0)</f>
        <v/>
      </c>
      <c r="L45" t="inlineStr"/>
    </row>
    <row r="46">
      <c r="A46" t="inlineStr">
        <is>
          <t>gokafo31</t>
        </is>
      </c>
      <c r="B46" t="inlineStr">
        <is>
          <t>Okafor</t>
        </is>
      </c>
      <c r="C46" t="inlineStr">
        <is>
          <t>Grace</t>
        </is>
      </c>
      <c r="D46" t="n">
        <v>25</v>
      </c>
      <c r="E46" t="n">
        <v>19</v>
      </c>
      <c r="F46" t="n">
        <v>20</v>
      </c>
      <c r="G46" t="n">
        <v>7</v>
      </c>
      <c r="H46" t="n">
        <v>14</v>
      </c>
      <c r="I46" t="n">
        <v>10</v>
      </c>
      <c r="J46" t="n">
        <v>0</v>
      </c>
      <c r="K46">
        <f>SUM(D46:I46)-IF(J46&gt;1,5*(J46-1),0)</f>
        <v/>
      </c>
      <c r="L46" t="inlineStr"/>
    </row>
    <row r="47">
      <c r="A47" t="inlineStr">
        <is>
          <t>tokafo53</t>
        </is>
      </c>
      <c r="B47" t="inlineStr">
        <is>
          <t>Okafor</t>
        </is>
      </c>
      <c r="C47" t="inlineStr">
        <is>
          <t>Tyler</t>
        </is>
      </c>
      <c r="D47" t="n">
        <v>25</v>
      </c>
      <c r="E47" t="n">
        <v>20</v>
      </c>
      <c r="F47" t="n">
        <v>20</v>
      </c>
      <c r="G47" t="n">
        <v>10</v>
      </c>
      <c r="H47" t="n">
        <v>15</v>
      </c>
      <c r="I47" t="n">
        <v>7</v>
      </c>
      <c r="J47" t="n">
        <v>2</v>
      </c>
      <c r="K47">
        <f>SUM(D47:I47)-IF(J47&gt;1,5*(J47-1),0)</f>
        <v/>
      </c>
      <c r="L47" t="inlineStr"/>
    </row>
    <row r="48">
      <c r="A48" t="inlineStr">
        <is>
          <t>aprice22</t>
        </is>
      </c>
      <c r="B48" t="inlineStr">
        <is>
          <t>Price</t>
        </is>
      </c>
      <c r="C48" t="inlineStr">
        <is>
          <t>Anika</t>
        </is>
      </c>
      <c r="D48" t="n">
        <v>24</v>
      </c>
      <c r="E48" t="n">
        <v>20</v>
      </c>
      <c r="F48" t="n">
        <v>19</v>
      </c>
      <c r="G48" t="n">
        <v>10</v>
      </c>
      <c r="H48" t="n">
        <v>13</v>
      </c>
      <c r="I48" t="n">
        <v>8</v>
      </c>
      <c r="J48" t="n">
        <v>0</v>
      </c>
      <c r="K48">
        <f>SUM(D48:I48)-IF(J48&gt;1,5*(J48-1),0)</f>
        <v/>
      </c>
      <c r="L48" t="inlineStr">
        <is>
          <t>great UI polish</t>
        </is>
      </c>
    </row>
    <row r="49">
      <c r="A49" t="inlineStr">
        <is>
          <t>lprice55</t>
        </is>
      </c>
      <c r="B49" t="inlineStr">
        <is>
          <t>Price</t>
        </is>
      </c>
      <c r="C49" t="inlineStr">
        <is>
          <t>Logan</t>
        </is>
      </c>
      <c r="D49" t="n">
        <v>17</v>
      </c>
      <c r="E49" t="n">
        <v>19</v>
      </c>
      <c r="F49" t="n">
        <v>19</v>
      </c>
      <c r="G49" t="n">
        <v>7</v>
      </c>
      <c r="H49" t="n">
        <v>12</v>
      </c>
      <c r="I49" t="n">
        <v>9</v>
      </c>
      <c r="J49" t="n">
        <v>0</v>
      </c>
      <c r="K49">
        <f>SUM(D49:I49)-IF(J49&gt;1,5*(J49-1),0)</f>
        <v/>
      </c>
      <c r="L49" t="inlineStr">
        <is>
          <t>README missing run instructions</t>
        </is>
      </c>
    </row>
    <row r="50">
      <c r="A50" t="inlineStr">
        <is>
          <t>tprice13</t>
        </is>
      </c>
      <c r="B50" t="inlineStr">
        <is>
          <t>Price</t>
        </is>
      </c>
      <c r="C50" t="inlineStr">
        <is>
          <t>Tyler</t>
        </is>
      </c>
      <c r="D50" t="n">
        <v>25</v>
      </c>
      <c r="E50" t="n">
        <v>19</v>
      </c>
      <c r="F50" t="n">
        <v>14</v>
      </c>
      <c r="G50" t="n">
        <v>7</v>
      </c>
      <c r="H50" t="n">
        <v>10</v>
      </c>
      <c r="I50" t="n">
        <v>9</v>
      </c>
      <c r="J50" t="n">
        <v>0</v>
      </c>
      <c r="K50">
        <f>SUM(D50:I50)-IF(J50&gt;1,5*(J50-1),0)</f>
        <v/>
      </c>
      <c r="L50" t="inlineStr">
        <is>
          <t>no error handling on fetch</t>
        </is>
      </c>
    </row>
    <row r="51">
      <c r="A51" t="inlineStr">
        <is>
          <t>lquinn84</t>
        </is>
      </c>
      <c r="B51" t="inlineStr">
        <is>
          <t>Quinn</t>
        </is>
      </c>
      <c r="C51" t="inlineStr">
        <is>
          <t>Liam</t>
        </is>
      </c>
      <c r="D51" t="n">
        <v>25</v>
      </c>
      <c r="E51" t="n">
        <v>14</v>
      </c>
      <c r="F51" t="n">
        <v>20</v>
      </c>
      <c r="G51" t="n">
        <v>8</v>
      </c>
      <c r="H51" t="n">
        <v>12</v>
      </c>
      <c r="I51" t="n">
        <v>10</v>
      </c>
      <c r="J51" t="n">
        <v>2</v>
      </c>
      <c r="K51">
        <f>SUM(D51:I51)-IF(J51&gt;1,5*(J51-1),0)</f>
        <v/>
      </c>
      <c r="L51" t="inlineStr"/>
    </row>
    <row r="52">
      <c r="A52" t="inlineStr">
        <is>
          <t>jrahma6</t>
        </is>
      </c>
      <c r="B52" t="inlineStr">
        <is>
          <t>Rahman</t>
        </is>
      </c>
      <c r="C52" t="inlineStr">
        <is>
          <t>Julia</t>
        </is>
      </c>
      <c r="D52" t="n">
        <v>25</v>
      </c>
      <c r="E52" t="n">
        <v>18</v>
      </c>
      <c r="F52" t="n">
        <v>20</v>
      </c>
      <c r="G52" t="n">
        <v>10</v>
      </c>
      <c r="H52" t="n">
        <v>13</v>
      </c>
      <c r="I52" t="n">
        <v>7</v>
      </c>
      <c r="J52" t="n">
        <v>2</v>
      </c>
      <c r="K52">
        <f>SUM(D52:I52)-IF(J52&gt;1,5*(J52-1),0)</f>
        <v/>
      </c>
      <c r="L52" t="inlineStr">
        <is>
          <t>routes not RESTful</t>
        </is>
      </c>
    </row>
    <row r="53">
      <c r="A53" t="inlineStr">
        <is>
          <t>nrahma20</t>
        </is>
      </c>
      <c r="B53" t="inlineStr">
        <is>
          <t>Rahman</t>
        </is>
      </c>
      <c r="C53" t="inlineStr">
        <is>
          <t>Nadia</t>
        </is>
      </c>
      <c r="D53" t="n">
        <v>17</v>
      </c>
      <c r="E53" t="n">
        <v>20</v>
      </c>
      <c r="F53" t="n">
        <v>20</v>
      </c>
      <c r="G53" t="n">
        <v>10</v>
      </c>
      <c r="H53" t="n">
        <v>14</v>
      </c>
      <c r="I53" t="n">
        <v>8</v>
      </c>
      <c r="J53" t="n">
        <v>0</v>
      </c>
      <c r="K53">
        <f>SUM(D53:I53)-IF(J53&gt;1,5*(J53-1),0)</f>
        <v/>
      </c>
      <c r="L53" t="inlineStr"/>
    </row>
    <row r="54">
      <c r="A54" t="inlineStr">
        <is>
          <t>esulli81</t>
        </is>
      </c>
      <c r="B54" t="inlineStr">
        <is>
          <t>Sullivan</t>
        </is>
      </c>
      <c r="C54" t="inlineStr">
        <is>
          <t>Ethan</t>
        </is>
      </c>
      <c r="D54" t="n">
        <v>25</v>
      </c>
      <c r="E54" t="n">
        <v>14</v>
      </c>
      <c r="F54" t="n">
        <v>14</v>
      </c>
      <c r="G54" t="n">
        <v>10</v>
      </c>
      <c r="H54" t="n">
        <v>15</v>
      </c>
      <c r="I54" t="n">
        <v>7</v>
      </c>
      <c r="J54" t="n">
        <v>0</v>
      </c>
      <c r="K54">
        <f>SUM(D54:I54)-IF(J54&gt;1,5*(J54-1),0)</f>
        <v/>
      </c>
      <c r="L54" t="inlineStr"/>
    </row>
    <row r="55">
      <c r="A55" t="inlineStr">
        <is>
          <t>ssulli17</t>
        </is>
      </c>
      <c r="B55" t="inlineStr">
        <is>
          <t>Sullivan</t>
        </is>
      </c>
      <c r="C55" t="inlineStr">
        <is>
          <t>Sofia</t>
        </is>
      </c>
      <c r="D55" t="n">
        <v>25</v>
      </c>
      <c r="E55" t="n">
        <v>19</v>
      </c>
      <c r="F55" t="n">
        <v>18</v>
      </c>
      <c r="G55" t="n">
        <v>9</v>
      </c>
      <c r="H55" t="n">
        <v>12</v>
      </c>
      <c r="I55" t="n">
        <v>7</v>
      </c>
      <c r="J55" t="n">
        <v>1</v>
      </c>
      <c r="K55">
        <f>SUM(D55:I55)-IF(J55&gt;1,5*(J55-1),0)</f>
        <v/>
      </c>
      <c r="L55" t="inlineStr"/>
    </row>
    <row r="56">
      <c r="A56" t="inlineStr">
        <is>
          <t>stran52</t>
        </is>
      </c>
      <c r="B56" t="inlineStr">
        <is>
          <t>Tran</t>
        </is>
      </c>
      <c r="C56" t="inlineStr">
        <is>
          <t>Sara</t>
        </is>
      </c>
      <c r="D56" t="n">
        <v>25</v>
      </c>
      <c r="E56" t="n">
        <v>18</v>
      </c>
      <c r="F56" t="n">
        <v>18</v>
      </c>
      <c r="G56" t="n">
        <v>10</v>
      </c>
      <c r="H56" t="n">
        <v>10</v>
      </c>
      <c r="I56" t="n">
        <v>10</v>
      </c>
      <c r="J56" t="n">
        <v>1</v>
      </c>
      <c r="K56">
        <f>SUM(D56:I56)-IF(J56&gt;1,5*(J56-1),0)</f>
        <v/>
      </c>
      <c r="L56" t="inlineStr"/>
    </row>
    <row r="57">
      <c r="A57" t="inlineStr">
        <is>
          <t>ztran47</t>
        </is>
      </c>
      <c r="B57" t="inlineStr">
        <is>
          <t>Tran</t>
        </is>
      </c>
      <c r="C57" t="inlineStr">
        <is>
          <t>Zoe</t>
        </is>
      </c>
      <c r="D57" t="n">
        <v>17</v>
      </c>
      <c r="E57" t="n">
        <v>20</v>
      </c>
      <c r="F57" t="n">
        <v>14</v>
      </c>
      <c r="G57" t="n">
        <v>7</v>
      </c>
      <c r="H57" t="n">
        <v>14</v>
      </c>
      <c r="I57" t="n">
        <v>10</v>
      </c>
      <c r="J57" t="n">
        <v>0</v>
      </c>
      <c r="K57">
        <f>SUM(D57:I57)-IF(J57&gt;1,5*(J57-1),0)</f>
        <v/>
      </c>
      <c r="L57" t="inlineStr"/>
    </row>
    <row r="58">
      <c r="A58" t="inlineStr">
        <is>
          <t>funder16</t>
        </is>
      </c>
      <c r="B58" t="inlineStr">
        <is>
          <t>Underwood</t>
        </is>
      </c>
      <c r="C58" t="inlineStr">
        <is>
          <t>Fatima</t>
        </is>
      </c>
      <c r="D58" t="n">
        <v>17</v>
      </c>
      <c r="E58" t="n">
        <v>17</v>
      </c>
      <c r="F58" t="n">
        <v>17</v>
      </c>
      <c r="G58" t="n">
        <v>10</v>
      </c>
      <c r="H58" t="n">
        <v>15</v>
      </c>
      <c r="I58" t="n">
        <v>9</v>
      </c>
      <c r="J58" t="n">
        <v>0</v>
      </c>
      <c r="K58">
        <f>SUM(D58:I58)-IF(J58&gt;1,5*(J58-1),0)</f>
        <v/>
      </c>
      <c r="L58" t="inlineStr">
        <is>
          <t>nice test coverage</t>
        </is>
      </c>
    </row>
    <row r="59">
      <c r="A59" t="inlineStr">
        <is>
          <t>ivasqu96</t>
        </is>
      </c>
      <c r="B59" t="inlineStr">
        <is>
          <t>Vasquez</t>
        </is>
      </c>
      <c r="C59" t="inlineStr">
        <is>
          <t>Isabel</t>
        </is>
      </c>
      <c r="D59" t="n">
        <v>25</v>
      </c>
      <c r="E59" t="n">
        <v>17</v>
      </c>
      <c r="F59" t="n">
        <v>19</v>
      </c>
      <c r="G59" t="n">
        <v>8</v>
      </c>
      <c r="H59" t="n">
        <v>15</v>
      </c>
      <c r="I59" t="n">
        <v>10</v>
      </c>
      <c r="J59" t="n">
        <v>2</v>
      </c>
      <c r="K59">
        <f>SUM(D59:I59)-IF(J59&gt;1,5*(J59-1),0)</f>
        <v/>
      </c>
      <c r="L59" t="inlineStr">
        <is>
          <t>nice test coverage</t>
        </is>
      </c>
    </row>
    <row r="60">
      <c r="A60" t="inlineStr">
        <is>
          <t>rvasqu24</t>
        </is>
      </c>
      <c r="B60" t="inlineStr">
        <is>
          <t>Vasquez</t>
        </is>
      </c>
      <c r="C60" t="inlineStr">
        <is>
          <t>Ryan</t>
        </is>
      </c>
      <c r="D60" t="n">
        <v>17</v>
      </c>
      <c r="E60" t="n">
        <v>14</v>
      </c>
      <c r="F60" t="n">
        <v>18</v>
      </c>
      <c r="G60" t="n">
        <v>8</v>
      </c>
      <c r="H60" t="n">
        <v>14</v>
      </c>
      <c r="I60" t="n">
        <v>10</v>
      </c>
      <c r="J60" t="n">
        <v>0</v>
      </c>
      <c r="K60">
        <f>SUM(D60:I60)-IF(J60&gt;1,5*(J60-1),0)</f>
        <v/>
      </c>
      <c r="L60" t="inlineStr"/>
    </row>
    <row r="61">
      <c r="A61" t="inlineStr">
        <is>
          <t>jwalsh91</t>
        </is>
      </c>
      <c r="B61" t="inlineStr">
        <is>
          <t>Walsh</t>
        </is>
      </c>
      <c r="C61" t="inlineStr">
        <is>
          <t>Jacob</t>
        </is>
      </c>
      <c r="D61" t="n">
        <v>25</v>
      </c>
      <c r="E61" t="n">
        <v>20</v>
      </c>
      <c r="F61" t="n">
        <v>20</v>
      </c>
      <c r="G61" t="n">
        <v>10</v>
      </c>
      <c r="H61" t="n">
        <v>14</v>
      </c>
      <c r="I61" t="n">
        <v>10</v>
      </c>
      <c r="J61" t="n">
        <v>1</v>
      </c>
      <c r="K61">
        <f>SUM(D61:I61)-IF(J61&gt;1,5*(J61-1),0)</f>
        <v/>
      </c>
      <c r="L61" t="inlineStr">
        <is>
          <t>great UI polish</t>
        </is>
      </c>
    </row>
    <row r="62">
      <c r="A62" t="inlineStr">
        <is>
          <t>nwalsh38</t>
        </is>
      </c>
      <c r="B62" t="inlineStr">
        <is>
          <t>Walsh</t>
        </is>
      </c>
      <c r="C62" t="inlineStr">
        <is>
          <t>Nadia</t>
        </is>
      </c>
      <c r="D62" t="n">
        <v>22</v>
      </c>
      <c r="E62" t="n">
        <v>14</v>
      </c>
      <c r="F62" t="n">
        <v>19</v>
      </c>
      <c r="G62" t="n">
        <v>7</v>
      </c>
      <c r="H62" t="n">
        <v>15</v>
      </c>
      <c r="I62" t="n">
        <v>10</v>
      </c>
      <c r="J62" t="n">
        <v>2</v>
      </c>
      <c r="K62">
        <f>SUM(D62:I62)-IF(J62&gt;1,5*(J62-1),0)</f>
        <v/>
      </c>
      <c r="L62" t="inlineStr"/>
    </row>
    <row r="63">
      <c r="A63" t="inlineStr">
        <is>
          <t>zwalsh76</t>
        </is>
      </c>
      <c r="B63" t="inlineStr">
        <is>
          <t>Walsh</t>
        </is>
      </c>
      <c r="C63" t="inlineStr">
        <is>
          <t>Zoe</t>
        </is>
      </c>
      <c r="D63" t="n">
        <v>23</v>
      </c>
      <c r="E63" t="n">
        <v>20</v>
      </c>
      <c r="F63" t="n">
        <v>19</v>
      </c>
      <c r="G63" t="n">
        <v>9</v>
      </c>
      <c r="H63" t="n">
        <v>15</v>
      </c>
      <c r="I63" t="n">
        <v>9</v>
      </c>
      <c r="J63" t="n">
        <v>0</v>
      </c>
      <c r="K63">
        <f>SUM(D63:I63)-IF(J63&gt;1,5*(J63-1),0)</f>
        <v/>
      </c>
      <c r="L63" t="inlineStr"/>
    </row>
    <row r="64">
      <c r="A64" t="inlineStr">
        <is>
          <t>tyilma60</t>
        </is>
      </c>
      <c r="B64" t="inlineStr">
        <is>
          <t>Yilmaz</t>
        </is>
      </c>
      <c r="C64" t="inlineStr">
        <is>
          <t>Tyler</t>
        </is>
      </c>
      <c r="D64" t="n">
        <v>25</v>
      </c>
      <c r="E64" t="n">
        <v>19</v>
      </c>
      <c r="F64" t="n">
        <v>20</v>
      </c>
      <c r="G64" t="n">
        <v>10</v>
      </c>
      <c r="H64" t="n">
        <v>14</v>
      </c>
      <c r="I64" t="n">
        <v>9</v>
      </c>
      <c r="J64" t="n">
        <v>0</v>
      </c>
      <c r="K64">
        <f>SUM(D64:I64)-IF(J64&gt;1,5*(J64-1),0)</f>
        <v/>
      </c>
      <c r="L64" t="inlineStr"/>
    </row>
    <row r="65">
      <c r="A65" t="inlineStr">
        <is>
          <t>nzimme44</t>
        </is>
      </c>
      <c r="B65" t="inlineStr">
        <is>
          <t>Zimmerman</t>
        </is>
      </c>
      <c r="C65" t="inlineStr">
        <is>
          <t>Nathan</t>
        </is>
      </c>
      <c r="D65" t="n">
        <v>24</v>
      </c>
      <c r="E65" t="n">
        <v>18</v>
      </c>
      <c r="F65" t="n">
        <v>18</v>
      </c>
      <c r="G65" t="n">
        <v>9</v>
      </c>
      <c r="H65" t="n">
        <v>10</v>
      </c>
      <c r="I65" t="n">
        <v>10</v>
      </c>
      <c r="J65" t="n">
        <v>0</v>
      </c>
      <c r="K65">
        <f>SUM(D65:I65)-IF(J65&gt;1,5*(J65-1),0)</f>
        <v/>
      </c>
      <c r="L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15" customWidth="1" min="3" max="3"/>
    <col width="16" customWidth="1" min="4" max="4"/>
    <col width="17" customWidth="1" min="5" max="5"/>
    <col width="13" customWidth="1" min="6" max="6"/>
    <col width="16" customWidth="1" min="7" max="7"/>
    <col width="15" customWidth="1" min="8" max="8"/>
  </cols>
  <sheetData>
    <row r="1">
      <c r="A1" t="inlineStr">
        <is>
          <t>Team</t>
        </is>
      </c>
      <c r="B1" t="inlineStr">
        <is>
          <t>Members (PIDs)</t>
        </is>
      </c>
      <c r="C1" t="inlineStr">
        <is>
          <t>Proposal (10)</t>
        </is>
      </c>
      <c r="D1" t="inlineStr">
        <is>
          <t>Milestone (20)</t>
        </is>
      </c>
      <c r="E1" t="inlineStr">
        <is>
          <t>Final demo (40)</t>
        </is>
      </c>
      <c r="F1" t="inlineStr">
        <is>
          <t>Report (20)</t>
        </is>
      </c>
      <c r="G1" t="inlineStr">
        <is>
          <t>Peer eval (10)</t>
        </is>
      </c>
      <c r="H1" t="inlineStr">
        <is>
          <t>Total</t>
        </is>
      </c>
    </row>
    <row r="2">
      <c r="A2" t="inlineStr">
        <is>
          <t>Team 01</t>
        </is>
      </c>
      <c r="B2" t="inlineStr">
        <is>
          <t>aalvar73, halvar44, ebarne26, lbarne46</t>
        </is>
      </c>
      <c r="C2" t="n">
        <v>9</v>
      </c>
      <c r="D2" t="n">
        <v>19</v>
      </c>
      <c r="E2" t="n">
        <v>37</v>
      </c>
      <c r="F2" t="n">
        <v>19</v>
      </c>
      <c r="G2" t="n">
        <v>9</v>
      </c>
      <c r="H2">
        <f>SUM(C2:G2)</f>
        <v/>
      </c>
    </row>
    <row r="3">
      <c r="A3" t="inlineStr">
        <is>
          <t>Team 02</t>
        </is>
      </c>
      <c r="B3" t="inlineStr">
        <is>
          <t>vbarne79, jbenne73, ecasti77, gcasti55</t>
        </is>
      </c>
      <c r="C3" t="n">
        <v>10</v>
      </c>
      <c r="D3" t="n">
        <v>16</v>
      </c>
      <c r="E3" t="n">
        <v>38</v>
      </c>
      <c r="F3" t="n">
        <v>19</v>
      </c>
      <c r="G3" t="n">
        <v>9</v>
      </c>
      <c r="H3">
        <f>SUM(C3:G3)</f>
        <v/>
      </c>
    </row>
    <row r="4">
      <c r="A4" t="inlineStr">
        <is>
          <t>Team 03</t>
        </is>
      </c>
      <c r="B4" t="inlineStr">
        <is>
          <t>lcasti27, rchowd60, cdawso9, gdawso56</t>
        </is>
      </c>
      <c r="C4" t="n">
        <v>10</v>
      </c>
      <c r="D4" t="n">
        <v>20</v>
      </c>
      <c r="E4" t="n">
        <v>32</v>
      </c>
      <c r="F4" t="n">
        <v>18</v>
      </c>
      <c r="G4" t="n">
        <v>10</v>
      </c>
      <c r="H4">
        <f>SUM(C4:G4)</f>
        <v/>
      </c>
    </row>
    <row r="5">
      <c r="A5" t="inlineStr">
        <is>
          <t>Team 04</t>
        </is>
      </c>
      <c r="B5" t="inlineStr">
        <is>
          <t>ldawso94, rdawso79, mdelga29, dellis12</t>
        </is>
      </c>
      <c r="C5" t="n">
        <v>10</v>
      </c>
      <c r="D5" t="n">
        <v>18</v>
      </c>
      <c r="E5" t="n">
        <v>40</v>
      </c>
      <c r="F5" t="n">
        <v>17</v>
      </c>
      <c r="G5" t="n">
        <v>10</v>
      </c>
      <c r="H5">
        <f>SUM(C5:G5)</f>
        <v/>
      </c>
    </row>
    <row r="6">
      <c r="A6" t="inlineStr">
        <is>
          <t>Team 05</t>
        </is>
      </c>
      <c r="B6" t="inlineStr">
        <is>
          <t>cfitzg19, efitzg9, vfitzg44, nfoste50</t>
        </is>
      </c>
      <c r="C6" t="n">
        <v>9</v>
      </c>
      <c r="D6" t="n">
        <v>20</v>
      </c>
      <c r="E6" t="n">
        <v>35</v>
      </c>
      <c r="F6" t="n">
        <v>18</v>
      </c>
      <c r="G6" t="n">
        <v>10</v>
      </c>
      <c r="H6">
        <f>SUM(C6:G6)</f>
        <v/>
      </c>
    </row>
    <row r="7">
      <c r="A7" t="inlineStr">
        <is>
          <t>Team 06</t>
        </is>
      </c>
      <c r="B7" t="inlineStr">
        <is>
          <t>agreen67, igreen46, mgreen47, agupta99</t>
        </is>
      </c>
      <c r="C7" t="n">
        <v>8</v>
      </c>
      <c r="D7" t="n">
        <v>20</v>
      </c>
      <c r="E7" t="n">
        <v>37</v>
      </c>
      <c r="F7" t="n">
        <v>17</v>
      </c>
      <c r="G7" t="n">
        <v>9</v>
      </c>
      <c r="H7">
        <f>SUM(C7:G7)</f>
        <v/>
      </c>
    </row>
    <row r="8">
      <c r="A8" t="inlineStr">
        <is>
          <t>Team 07</t>
        </is>
      </c>
      <c r="B8" t="inlineStr">
        <is>
          <t>khale16, shale29, nholt27, aiqbal87</t>
        </is>
      </c>
      <c r="C8" t="n">
        <v>8</v>
      </c>
      <c r="D8" t="n">
        <v>20</v>
      </c>
      <c r="E8" t="n">
        <v>38</v>
      </c>
      <c r="F8" t="n">
        <v>19</v>
      </c>
      <c r="G8" t="n">
        <v>9</v>
      </c>
      <c r="H8">
        <f>SUM(C8:G8)</f>
        <v/>
      </c>
    </row>
    <row r="9">
      <c r="A9" t="inlineStr">
        <is>
          <t>Team 08</t>
        </is>
      </c>
      <c r="B9" t="inlineStr">
        <is>
          <t>ciqbal17, bjense80, kjense36, ljense7</t>
        </is>
      </c>
      <c r="C9" t="n">
        <v>10</v>
      </c>
      <c r="D9" t="n">
        <v>20</v>
      </c>
      <c r="E9" t="n">
        <v>35</v>
      </c>
      <c r="F9" t="n">
        <v>19</v>
      </c>
      <c r="G9" t="n">
        <v>10</v>
      </c>
      <c r="H9">
        <f>SUM(C9:G9)</f>
        <v/>
      </c>
    </row>
    <row r="10">
      <c r="A10" t="inlineStr">
        <is>
          <t>Team 09</t>
        </is>
      </c>
      <c r="B10" t="inlineStr">
        <is>
          <t>kjorda48, mkaur50, bkowal95, nkowal51</t>
        </is>
      </c>
      <c r="C10" t="n">
        <v>9</v>
      </c>
      <c r="D10" t="n">
        <v>19</v>
      </c>
      <c r="E10" t="n">
        <v>37</v>
      </c>
      <c r="F10" t="n">
        <v>20</v>
      </c>
      <c r="G10" t="n">
        <v>10</v>
      </c>
      <c r="H10">
        <f>SUM(C10:G10)</f>
        <v/>
      </c>
    </row>
    <row r="11">
      <c r="A11" t="inlineStr">
        <is>
          <t>Team 10</t>
        </is>
      </c>
      <c r="B11" t="inlineStr">
        <is>
          <t>okowal27, skowal11, dlowe11, elowe23</t>
        </is>
      </c>
      <c r="C11" t="n">
        <v>8</v>
      </c>
      <c r="D11" t="n">
        <v>18</v>
      </c>
      <c r="E11" t="n">
        <v>32</v>
      </c>
      <c r="F11" t="n">
        <v>19</v>
      </c>
      <c r="G11" t="n">
        <v>9</v>
      </c>
      <c r="H11">
        <f>SUM(C11:G11)</f>
        <v/>
      </c>
    </row>
    <row r="12">
      <c r="A12" t="inlineStr">
        <is>
          <t>Team 11</t>
        </is>
      </c>
      <c r="B12" t="inlineStr">
        <is>
          <t>jlowe60, emendo45, mmendo55, jnakam87</t>
        </is>
      </c>
      <c r="C12" t="n">
        <v>9</v>
      </c>
      <c r="D12" t="n">
        <v>20</v>
      </c>
      <c r="E12" t="n">
        <v>35</v>
      </c>
      <c r="F12" t="n">
        <v>17</v>
      </c>
      <c r="G12" t="n">
        <v>10</v>
      </c>
      <c r="H12">
        <f>SUM(C12:G12)</f>
        <v/>
      </c>
    </row>
    <row r="13">
      <c r="A13" t="inlineStr">
        <is>
          <t>Team 12</t>
        </is>
      </c>
      <c r="B13" t="inlineStr">
        <is>
          <t>gokafo31, tokafo53, aprice22, lprice55</t>
        </is>
      </c>
      <c r="C13" t="n">
        <v>10</v>
      </c>
      <c r="D13" t="n">
        <v>16</v>
      </c>
      <c r="E13" t="n">
        <v>35</v>
      </c>
      <c r="F13" t="n">
        <v>19</v>
      </c>
      <c r="G13" t="n">
        <v>10</v>
      </c>
      <c r="H13">
        <f>SUM(C13:G13)</f>
        <v/>
      </c>
    </row>
    <row r="14">
      <c r="A14" t="inlineStr">
        <is>
          <t>Team 13</t>
        </is>
      </c>
      <c r="B14" t="inlineStr">
        <is>
          <t>tprice13, lquinn84, jrahma6, nrahma20</t>
        </is>
      </c>
      <c r="C14" t="n">
        <v>10</v>
      </c>
      <c r="D14" t="n">
        <v>18</v>
      </c>
      <c r="E14" t="n">
        <v>40</v>
      </c>
      <c r="F14" t="n">
        <v>19</v>
      </c>
      <c r="G14" t="n">
        <v>10</v>
      </c>
      <c r="H14">
        <f>SUM(C14:G14)</f>
        <v/>
      </c>
    </row>
    <row r="15">
      <c r="A15" t="inlineStr">
        <is>
          <t>Team 14</t>
        </is>
      </c>
      <c r="B15" t="inlineStr">
        <is>
          <t>esulli81, ssulli17, stran52, ztran47</t>
        </is>
      </c>
      <c r="C15" t="n">
        <v>9</v>
      </c>
      <c r="D15" t="n">
        <v>19</v>
      </c>
      <c r="E15" t="n">
        <v>35</v>
      </c>
      <c r="F15" t="n">
        <v>17</v>
      </c>
      <c r="G15" t="n">
        <v>10</v>
      </c>
      <c r="H15">
        <f>SUM(C15:G15)</f>
        <v/>
      </c>
    </row>
    <row r="16">
      <c r="A16" t="inlineStr">
        <is>
          <t>Team 15</t>
        </is>
      </c>
      <c r="B16" t="inlineStr">
        <is>
          <t>funder16, ivasqu96, rvasqu24, jwalsh91</t>
        </is>
      </c>
      <c r="C16" t="n">
        <v>9</v>
      </c>
      <c r="D16" t="n">
        <v>18</v>
      </c>
      <c r="E16" t="n">
        <v>40</v>
      </c>
      <c r="F16" t="n">
        <v>17</v>
      </c>
      <c r="G16" t="n">
        <v>9</v>
      </c>
      <c r="H16">
        <f>SUM(C16:G16)</f>
        <v/>
      </c>
    </row>
    <row r="17">
      <c r="A17" t="inlineStr">
        <is>
          <t>Team 16</t>
        </is>
      </c>
      <c r="B17" t="inlineStr">
        <is>
          <t>nwalsh38, zwalsh76, tyilma60, nzimme44</t>
        </is>
      </c>
      <c r="C17" t="n">
        <v>8</v>
      </c>
      <c r="D17" t="n">
        <v>20</v>
      </c>
      <c r="E17" t="n">
        <v>38</v>
      </c>
      <c r="F17" t="n">
        <v>20</v>
      </c>
      <c r="G17" t="n">
        <v>10</v>
      </c>
      <c r="H17">
        <f>SUM(C17:G17)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8" customWidth="1" min="4" max="4"/>
    <col width="48" customWidth="1" min="5" max="5"/>
    <col width="15" customWidth="1" min="6" max="6"/>
    <col width="20" customWidth="1" min="7" max="7"/>
  </cols>
  <sheetData>
    <row r="1">
      <c r="A1" t="inlineStr">
        <is>
          <t>Date</t>
        </is>
      </c>
      <c r="B1" t="inlineStr">
        <is>
          <t>PID</t>
        </is>
      </c>
      <c r="C1" t="inlineStr">
        <is>
          <t>Assignment</t>
        </is>
      </c>
      <c r="D1" t="inlineStr">
        <is>
          <t>Request</t>
        </is>
      </c>
      <c r="E1" t="inlineStr">
        <is>
          <t>Decision</t>
        </is>
      </c>
      <c r="F1" t="inlineStr">
        <is>
          <t>Points change</t>
        </is>
      </c>
      <c r="G1" t="inlineStr">
        <is>
          <t>Handled by</t>
        </is>
      </c>
    </row>
    <row r="2">
      <c r="A2" t="inlineStr">
        <is>
          <t>2025-11-03</t>
        </is>
      </c>
      <c r="B2" t="inlineStr">
        <is>
          <t>gdawso56</t>
        </is>
      </c>
      <c r="C2" t="inlineStr">
        <is>
          <t>P3</t>
        </is>
      </c>
      <c r="D2" t="inlineStr">
        <is>
          <t>Tests criterion: autograder missed tests in /spec folder</t>
        </is>
      </c>
      <c r="E2" t="inlineStr">
        <is>
          <t>accepted, re-ran</t>
        </is>
      </c>
      <c r="F2" t="inlineStr">
        <is>
          <t>+6</t>
        </is>
      </c>
      <c r="G2" t="inlineStr">
        <is>
          <t>David</t>
        </is>
      </c>
    </row>
    <row r="3">
      <c r="A3" t="inlineStr">
        <is>
          <t>2025-11-25</t>
        </is>
      </c>
      <c r="B3" t="inlineStr">
        <is>
          <t>skowal11</t>
        </is>
      </c>
      <c r="C3" t="inlineStr">
        <is>
          <t>P4</t>
        </is>
      </c>
      <c r="D3" t="inlineStr">
        <is>
          <t>Late-day policy: claims 2nd late day should not count because Canvas was down 11/21 evening</t>
        </is>
      </c>
      <c r="E3" t="inlineStr">
        <is>
          <t>partially accepted: Canvas outage was 7-9 pm, submission at 11:48 pm next day; 1 late day waived</t>
        </is>
      </c>
      <c r="F3" t="inlineStr">
        <is>
          <t>+5</t>
        </is>
      </c>
      <c r="G3" t="inlineStr">
        <is>
          <t>David + instructor</t>
        </is>
      </c>
    </row>
    <row r="4">
      <c r="A4" t="inlineStr">
        <is>
          <t>2025-11-26</t>
        </is>
      </c>
      <c r="B4" t="inlineStr">
        <is>
          <t>skowal11</t>
        </is>
      </c>
      <c r="C4" t="inlineStr">
        <is>
          <t>P4</t>
        </is>
      </c>
      <c r="D4" t="inlineStr">
        <is>
          <t>follow-up: wants both late days waived</t>
        </is>
      </c>
      <c r="E4" t="inlineStr">
        <is>
          <t>denied per syllabus; instructor agreed</t>
        </is>
      </c>
      <c r="F4" t="inlineStr">
        <is>
          <t>0</t>
        </is>
      </c>
      <c r="G4" t="inlineStr">
        <is>
          <t>instructor</t>
        </is>
      </c>
    </row>
    <row r="5">
      <c r="A5" t="inlineStr">
        <is>
          <t>2025-12-12</t>
        </is>
      </c>
      <c r="B5" t="inlineStr">
        <is>
          <t>esulli81</t>
        </is>
      </c>
      <c r="C5" t="inlineStr">
        <is>
          <t>Final</t>
        </is>
      </c>
      <c r="D5" t="inlineStr">
        <is>
          <t>Peer eval: teammate gave 2/10 after a conflict</t>
        </is>
      </c>
      <c r="E5" t="inlineStr">
        <is>
          <t>replaced with team median</t>
        </is>
      </c>
      <c r="F5" t="inlineStr">
        <is>
          <t>+5</t>
        </is>
      </c>
      <c r="G5" t="inlineStr">
        <is>
          <t>David</t>
        </is>
      </c>
    </row>
    <row r="6">
      <c r="A6" t="inlineStr">
        <is>
          <t>2025-12-14</t>
        </is>
      </c>
      <c r="B6" t="inlineStr">
        <is>
          <t>jbenne73</t>
        </is>
      </c>
      <c r="C6" t="inlineStr">
        <is>
          <t>P3</t>
        </is>
      </c>
      <c r="D6" t="inlineStr">
        <is>
          <t>README criterion</t>
        </is>
      </c>
      <c r="E6" t="inlineStr">
        <is>
          <t>denied, README had no run instructions</t>
        </is>
      </c>
      <c r="F6" t="inlineStr">
        <is>
          <t>0</t>
        </is>
      </c>
      <c r="G6" t="inlineStr">
        <is>
          <t>David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  <col width="14" customWidth="1" min="6" max="6"/>
    <col width="39" customWidth="1" min="7" max="7"/>
    <col width="38" customWidth="1" min="8" max="8"/>
  </cols>
  <sheetData>
    <row r="1">
      <c r="A1" t="inlineStr">
        <is>
          <t>PID</t>
        </is>
      </c>
      <c r="B1" t="inlineStr">
        <is>
          <t>Last</t>
        </is>
      </c>
      <c r="C1" t="inlineStr">
        <is>
          <t>First</t>
        </is>
      </c>
      <c r="D1" t="inlineStr">
        <is>
          <t>P3</t>
        </is>
      </c>
      <c r="E1" t="inlineStr">
        <is>
          <t>P4</t>
        </is>
      </c>
      <c r="F1" t="inlineStr">
        <is>
          <t>Final (team)</t>
        </is>
      </c>
      <c r="G1" t="inlineStr">
        <is>
          <t>Regrade adj.</t>
        </is>
      </c>
      <c r="H1" t="inlineStr">
        <is>
          <t>Weighted (P3 25%, P4 25%, Final 50%)</t>
        </is>
      </c>
    </row>
    <row r="2">
      <c r="A2" t="inlineStr">
        <is>
          <t>aalvar73</t>
        </is>
      </c>
      <c r="B2" t="inlineStr">
        <is>
          <t>Alvarez</t>
        </is>
      </c>
      <c r="C2" t="inlineStr">
        <is>
          <t>Anika</t>
        </is>
      </c>
      <c r="D2">
        <f>P3!J2</f>
        <v/>
      </c>
      <c r="E2">
        <f>P4!K2</f>
        <v/>
      </c>
      <c r="F2">
        <f>Final!H2</f>
        <v/>
      </c>
      <c r="G2">
        <f>SUMIF(Regrades!B:B,A2,Regrades!F:F)</f>
        <v/>
      </c>
      <c r="H2">
        <f>0.25*D2+0.25*E2+0.5*F2+G2</f>
        <v/>
      </c>
    </row>
    <row r="3">
      <c r="A3" t="inlineStr">
        <is>
          <t>halvar44</t>
        </is>
      </c>
      <c r="B3" t="inlineStr">
        <is>
          <t>Alvarez</t>
        </is>
      </c>
      <c r="C3" t="inlineStr">
        <is>
          <t>Hana</t>
        </is>
      </c>
      <c r="D3">
        <f>P3!J3</f>
        <v/>
      </c>
      <c r="E3">
        <f>P4!K3</f>
        <v/>
      </c>
      <c r="F3">
        <f>Final!H2</f>
        <v/>
      </c>
      <c r="G3">
        <f>SUMIF(Regrades!B:B,A3,Regrades!F:F)</f>
        <v/>
      </c>
      <c r="H3">
        <f>0.25*D3+0.25*E3+0.5*F3+G3</f>
        <v/>
      </c>
    </row>
    <row r="4">
      <c r="A4" t="inlineStr">
        <is>
          <t>ebarne26</t>
        </is>
      </c>
      <c r="B4" t="inlineStr">
        <is>
          <t>Barnes</t>
        </is>
      </c>
      <c r="C4" t="inlineStr">
        <is>
          <t>Ellie</t>
        </is>
      </c>
      <c r="D4">
        <f>P3!J4</f>
        <v/>
      </c>
      <c r="E4">
        <f>P4!K4</f>
        <v/>
      </c>
      <c r="F4">
        <f>Final!H2</f>
        <v/>
      </c>
      <c r="G4">
        <f>SUMIF(Regrades!B:B,A4,Regrades!F:F)</f>
        <v/>
      </c>
      <c r="H4">
        <f>0.25*D4+0.25*E4+0.5*F4+G4</f>
        <v/>
      </c>
    </row>
    <row r="5">
      <c r="A5" t="inlineStr">
        <is>
          <t>lbarne46</t>
        </is>
      </c>
      <c r="B5" t="inlineStr">
        <is>
          <t>Barnes</t>
        </is>
      </c>
      <c r="C5" t="inlineStr">
        <is>
          <t>Lucas</t>
        </is>
      </c>
      <c r="D5">
        <f>P3!J5</f>
        <v/>
      </c>
      <c r="E5">
        <f>P4!K5</f>
        <v/>
      </c>
      <c r="F5">
        <f>Final!H2</f>
        <v/>
      </c>
      <c r="G5">
        <f>SUMIF(Regrades!B:B,A5,Regrades!F:F)</f>
        <v/>
      </c>
      <c r="H5">
        <f>0.25*D5+0.25*E5+0.5*F5+G5</f>
        <v/>
      </c>
    </row>
    <row r="6">
      <c r="A6" t="inlineStr">
        <is>
          <t>vbarne79</t>
        </is>
      </c>
      <c r="B6" t="inlineStr">
        <is>
          <t>Barnes</t>
        </is>
      </c>
      <c r="C6" t="inlineStr">
        <is>
          <t>Victor</t>
        </is>
      </c>
      <c r="D6">
        <f>P3!J6</f>
        <v/>
      </c>
      <c r="E6">
        <f>P4!K6</f>
        <v/>
      </c>
      <c r="F6">
        <f>Final!H3</f>
        <v/>
      </c>
      <c r="G6">
        <f>SUMIF(Regrades!B:B,A6,Regrades!F:F)</f>
        <v/>
      </c>
      <c r="H6">
        <f>0.25*D6+0.25*E6+0.5*F6+G6</f>
        <v/>
      </c>
    </row>
    <row r="7">
      <c r="A7" t="inlineStr">
        <is>
          <t>jbenne73</t>
        </is>
      </c>
      <c r="B7" t="inlineStr">
        <is>
          <t>Bennett</t>
        </is>
      </c>
      <c r="C7" t="inlineStr">
        <is>
          <t>Jacob</t>
        </is>
      </c>
      <c r="D7">
        <f>P3!J7</f>
        <v/>
      </c>
      <c r="E7">
        <f>P4!K7</f>
        <v/>
      </c>
      <c r="F7">
        <f>Final!H3</f>
        <v/>
      </c>
      <c r="G7">
        <f>SUMIF(Regrades!B:B,A7,Regrades!F:F)</f>
        <v/>
      </c>
      <c r="H7">
        <f>0.25*D7+0.25*E7+0.5*F7+G7</f>
        <v/>
      </c>
    </row>
    <row r="8">
      <c r="A8" t="inlineStr">
        <is>
          <t>ecasti77</t>
        </is>
      </c>
      <c r="B8" t="inlineStr">
        <is>
          <t>Castillo</t>
        </is>
      </c>
      <c r="C8" t="inlineStr">
        <is>
          <t>Ethan</t>
        </is>
      </c>
      <c r="D8">
        <f>P3!J8</f>
        <v/>
      </c>
      <c r="E8">
        <f>P4!K8</f>
        <v/>
      </c>
      <c r="F8">
        <f>Final!H3</f>
        <v/>
      </c>
      <c r="G8">
        <f>SUMIF(Regrades!B:B,A8,Regrades!F:F)</f>
        <v/>
      </c>
      <c r="H8">
        <f>0.25*D8+0.25*E8+0.5*F8+G8</f>
        <v/>
      </c>
    </row>
    <row r="9">
      <c r="A9" t="inlineStr">
        <is>
          <t>gcasti55</t>
        </is>
      </c>
      <c r="B9" t="inlineStr">
        <is>
          <t>Castillo</t>
        </is>
      </c>
      <c r="C9" t="inlineStr">
        <is>
          <t>Grace</t>
        </is>
      </c>
      <c r="D9">
        <f>P3!J9</f>
        <v/>
      </c>
      <c r="E9">
        <f>P4!K9</f>
        <v/>
      </c>
      <c r="F9">
        <f>Final!H3</f>
        <v/>
      </c>
      <c r="G9">
        <f>SUMIF(Regrades!B:B,A9,Regrades!F:F)</f>
        <v/>
      </c>
      <c r="H9">
        <f>0.25*D9+0.25*E9+0.5*F9+G9</f>
        <v/>
      </c>
    </row>
    <row r="10">
      <c r="A10" t="inlineStr">
        <is>
          <t>lcasti27</t>
        </is>
      </c>
      <c r="B10" t="inlineStr">
        <is>
          <t>Castillo</t>
        </is>
      </c>
      <c r="C10" t="inlineStr">
        <is>
          <t>Leah</t>
        </is>
      </c>
      <c r="D10">
        <f>P3!J10</f>
        <v/>
      </c>
      <c r="E10">
        <f>P4!K10</f>
        <v/>
      </c>
      <c r="F10">
        <f>Final!H4</f>
        <v/>
      </c>
      <c r="G10">
        <f>SUMIF(Regrades!B:B,A10,Regrades!F:F)</f>
        <v/>
      </c>
      <c r="H10">
        <f>0.25*D10+0.25*E10+0.5*F10+G10</f>
        <v/>
      </c>
    </row>
    <row r="11">
      <c r="A11" t="inlineStr">
        <is>
          <t>rchowd60</t>
        </is>
      </c>
      <c r="B11" t="inlineStr">
        <is>
          <t>Chowdhury</t>
        </is>
      </c>
      <c r="C11" t="inlineStr">
        <is>
          <t>Rosa</t>
        </is>
      </c>
      <c r="D11">
        <f>P3!J11</f>
        <v/>
      </c>
      <c r="E11">
        <f>P4!K11</f>
        <v/>
      </c>
      <c r="F11">
        <f>Final!H4</f>
        <v/>
      </c>
      <c r="G11">
        <f>SUMIF(Regrades!B:B,A11,Regrades!F:F)</f>
        <v/>
      </c>
      <c r="H11">
        <f>0.25*D11+0.25*E11+0.5*F11+G11</f>
        <v/>
      </c>
    </row>
    <row r="12">
      <c r="A12" t="inlineStr">
        <is>
          <t>cdawso9</t>
        </is>
      </c>
      <c r="B12" t="inlineStr">
        <is>
          <t>Dawson</t>
        </is>
      </c>
      <c r="C12" t="inlineStr">
        <is>
          <t>Chloe</t>
        </is>
      </c>
      <c r="D12">
        <f>P3!J12</f>
        <v/>
      </c>
      <c r="E12">
        <f>P4!K12</f>
        <v/>
      </c>
      <c r="F12">
        <f>Final!H4</f>
        <v/>
      </c>
      <c r="G12">
        <f>SUMIF(Regrades!B:B,A12,Regrades!F:F)</f>
        <v/>
      </c>
      <c r="H12">
        <f>0.25*D12+0.25*E12+0.5*F12+G12</f>
        <v/>
      </c>
    </row>
    <row r="13">
      <c r="A13" t="inlineStr">
        <is>
          <t>gdawso56</t>
        </is>
      </c>
      <c r="B13" t="inlineStr">
        <is>
          <t>Dawson</t>
        </is>
      </c>
      <c r="C13" t="inlineStr">
        <is>
          <t>Grace</t>
        </is>
      </c>
      <c r="D13">
        <f>P3!J13</f>
        <v/>
      </c>
      <c r="E13">
        <f>P4!K13</f>
        <v/>
      </c>
      <c r="F13">
        <f>Final!H4</f>
        <v/>
      </c>
      <c r="G13">
        <f>SUMIF(Regrades!B:B,A13,Regrades!F:F)</f>
        <v/>
      </c>
      <c r="H13">
        <f>0.25*D13+0.25*E13+0.5*F13+G13</f>
        <v/>
      </c>
    </row>
    <row r="14">
      <c r="A14" t="inlineStr">
        <is>
          <t>ldawso94</t>
        </is>
      </c>
      <c r="B14" t="inlineStr">
        <is>
          <t>Dawson</t>
        </is>
      </c>
      <c r="C14" t="inlineStr">
        <is>
          <t>Logan</t>
        </is>
      </c>
      <c r="D14">
        <f>P3!J14</f>
        <v/>
      </c>
      <c r="E14">
        <f>P4!K14</f>
        <v/>
      </c>
      <c r="F14">
        <f>Final!H5</f>
        <v/>
      </c>
      <c r="G14">
        <f>SUMIF(Regrades!B:B,A14,Regrades!F:F)</f>
        <v/>
      </c>
      <c r="H14">
        <f>0.25*D14+0.25*E14+0.5*F14+G14</f>
        <v/>
      </c>
    </row>
    <row r="15">
      <c r="A15" t="inlineStr">
        <is>
          <t>rdawso79</t>
        </is>
      </c>
      <c r="B15" t="inlineStr">
        <is>
          <t>Dawson</t>
        </is>
      </c>
      <c r="C15" t="inlineStr">
        <is>
          <t>Ryan</t>
        </is>
      </c>
      <c r="D15">
        <f>P3!J15</f>
        <v/>
      </c>
      <c r="E15">
        <f>P4!K15</f>
        <v/>
      </c>
      <c r="F15">
        <f>Final!H5</f>
        <v/>
      </c>
      <c r="G15">
        <f>SUMIF(Regrades!B:B,A15,Regrades!F:F)</f>
        <v/>
      </c>
      <c r="H15">
        <f>0.25*D15+0.25*E15+0.5*F15+G15</f>
        <v/>
      </c>
    </row>
    <row r="16">
      <c r="A16" t="inlineStr">
        <is>
          <t>mdelga29</t>
        </is>
      </c>
      <c r="B16" t="inlineStr">
        <is>
          <t>Delgado</t>
        </is>
      </c>
      <c r="C16" t="inlineStr">
        <is>
          <t>Maya</t>
        </is>
      </c>
      <c r="D16">
        <f>P3!J16</f>
        <v/>
      </c>
      <c r="E16">
        <f>P4!K16</f>
        <v/>
      </c>
      <c r="F16">
        <f>Final!H5</f>
        <v/>
      </c>
      <c r="G16">
        <f>SUMIF(Regrades!B:B,A16,Regrades!F:F)</f>
        <v/>
      </c>
      <c r="H16">
        <f>0.25*D16+0.25*E16+0.5*F16+G16</f>
        <v/>
      </c>
    </row>
    <row r="17">
      <c r="A17" t="inlineStr">
        <is>
          <t>dellis12</t>
        </is>
      </c>
      <c r="B17" t="inlineStr">
        <is>
          <t>Ellis</t>
        </is>
      </c>
      <c r="C17" t="inlineStr">
        <is>
          <t>Daniel</t>
        </is>
      </c>
      <c r="D17">
        <f>P3!J17</f>
        <v/>
      </c>
      <c r="E17">
        <f>P4!K17</f>
        <v/>
      </c>
      <c r="F17">
        <f>Final!H5</f>
        <v/>
      </c>
      <c r="G17">
        <f>SUMIF(Regrades!B:B,A17,Regrades!F:F)</f>
        <v/>
      </c>
      <c r="H17">
        <f>0.25*D17+0.25*E17+0.5*F17+G17</f>
        <v/>
      </c>
    </row>
    <row r="18">
      <c r="A18" t="inlineStr">
        <is>
          <t>cfitzg19</t>
        </is>
      </c>
      <c r="B18" t="inlineStr">
        <is>
          <t>Fitzgerald</t>
        </is>
      </c>
      <c r="C18" t="inlineStr">
        <is>
          <t>Caleb</t>
        </is>
      </c>
      <c r="D18">
        <f>P3!J18</f>
        <v/>
      </c>
      <c r="E18">
        <f>P4!K18</f>
        <v/>
      </c>
      <c r="F18">
        <f>Final!H6</f>
        <v/>
      </c>
      <c r="G18">
        <f>SUMIF(Regrades!B:B,A18,Regrades!F:F)</f>
        <v/>
      </c>
      <c r="H18">
        <f>0.25*D18+0.25*E18+0.5*F18+G18</f>
        <v/>
      </c>
    </row>
    <row r="19">
      <c r="A19" t="inlineStr">
        <is>
          <t>efitzg9</t>
        </is>
      </c>
      <c r="B19" t="inlineStr">
        <is>
          <t>Fitzgerald</t>
        </is>
      </c>
      <c r="C19" t="inlineStr">
        <is>
          <t>Ethan</t>
        </is>
      </c>
      <c r="D19">
        <f>P3!J19</f>
        <v/>
      </c>
      <c r="E19">
        <f>P4!K19</f>
        <v/>
      </c>
      <c r="F19">
        <f>Final!H6</f>
        <v/>
      </c>
      <c r="G19">
        <f>SUMIF(Regrades!B:B,A19,Regrades!F:F)</f>
        <v/>
      </c>
      <c r="H19">
        <f>0.25*D19+0.25*E19+0.5*F19+G19</f>
        <v/>
      </c>
    </row>
    <row r="20">
      <c r="A20" t="inlineStr">
        <is>
          <t>vfitzg44</t>
        </is>
      </c>
      <c r="B20" t="inlineStr">
        <is>
          <t>Fitzgerald</t>
        </is>
      </c>
      <c r="C20" t="inlineStr">
        <is>
          <t>Victor</t>
        </is>
      </c>
      <c r="D20">
        <f>P3!J20</f>
        <v/>
      </c>
      <c r="E20">
        <f>P4!K20</f>
        <v/>
      </c>
      <c r="F20">
        <f>Final!H6</f>
        <v/>
      </c>
      <c r="G20">
        <f>SUMIF(Regrades!B:B,A20,Regrades!F:F)</f>
        <v/>
      </c>
      <c r="H20">
        <f>0.25*D20+0.25*E20+0.5*F20+G20</f>
        <v/>
      </c>
    </row>
    <row r="21">
      <c r="A21" t="inlineStr">
        <is>
          <t>nfoste50</t>
        </is>
      </c>
      <c r="B21" t="inlineStr">
        <is>
          <t>Foster</t>
        </is>
      </c>
      <c r="C21" t="inlineStr">
        <is>
          <t>Noah</t>
        </is>
      </c>
      <c r="D21">
        <f>P3!J21</f>
        <v/>
      </c>
      <c r="E21">
        <f>P4!K21</f>
        <v/>
      </c>
      <c r="F21">
        <f>Final!H6</f>
        <v/>
      </c>
      <c r="G21">
        <f>SUMIF(Regrades!B:B,A21,Regrades!F:F)</f>
        <v/>
      </c>
      <c r="H21">
        <f>0.25*D21+0.25*E21+0.5*F21+G21</f>
        <v/>
      </c>
    </row>
    <row r="22">
      <c r="A22" t="inlineStr">
        <is>
          <t>agreen67</t>
        </is>
      </c>
      <c r="B22" t="inlineStr">
        <is>
          <t>Greene</t>
        </is>
      </c>
      <c r="C22" t="inlineStr">
        <is>
          <t>Arjun</t>
        </is>
      </c>
      <c r="D22">
        <f>P3!J22</f>
        <v/>
      </c>
      <c r="E22">
        <f>P4!K22</f>
        <v/>
      </c>
      <c r="F22">
        <f>Final!H7</f>
        <v/>
      </c>
      <c r="G22">
        <f>SUMIF(Regrades!B:B,A22,Regrades!F:F)</f>
        <v/>
      </c>
      <c r="H22">
        <f>0.25*D22+0.25*E22+0.5*F22+G22</f>
        <v/>
      </c>
    </row>
    <row r="23">
      <c r="A23" t="inlineStr">
        <is>
          <t>igreen46</t>
        </is>
      </c>
      <c r="B23" t="inlineStr">
        <is>
          <t>Greene</t>
        </is>
      </c>
      <c r="C23" t="inlineStr">
        <is>
          <t>Isabel</t>
        </is>
      </c>
      <c r="D23">
        <f>P3!J23</f>
        <v/>
      </c>
      <c r="E23">
        <f>P4!K23</f>
        <v/>
      </c>
      <c r="F23">
        <f>Final!H7</f>
        <v/>
      </c>
      <c r="G23">
        <f>SUMIF(Regrades!B:B,A23,Regrades!F:F)</f>
        <v/>
      </c>
      <c r="H23">
        <f>0.25*D23+0.25*E23+0.5*F23+G23</f>
        <v/>
      </c>
    </row>
    <row r="24">
      <c r="A24" t="inlineStr">
        <is>
          <t>mgreen47</t>
        </is>
      </c>
      <c r="B24" t="inlineStr">
        <is>
          <t>Greene</t>
        </is>
      </c>
      <c r="C24" t="inlineStr">
        <is>
          <t>Marco</t>
        </is>
      </c>
      <c r="D24">
        <f>P3!J24</f>
        <v/>
      </c>
      <c r="E24">
        <f>P4!K24</f>
        <v/>
      </c>
      <c r="F24">
        <f>Final!H7</f>
        <v/>
      </c>
      <c r="G24">
        <f>SUMIF(Regrades!B:B,A24,Regrades!F:F)</f>
        <v/>
      </c>
      <c r="H24">
        <f>0.25*D24+0.25*E24+0.5*F24+G24</f>
        <v/>
      </c>
    </row>
    <row r="25">
      <c r="A25" t="inlineStr">
        <is>
          <t>agupta99</t>
        </is>
      </c>
      <c r="B25" t="inlineStr">
        <is>
          <t>Gupta</t>
        </is>
      </c>
      <c r="C25" t="inlineStr">
        <is>
          <t>Anika</t>
        </is>
      </c>
      <c r="D25">
        <f>P3!J25</f>
        <v/>
      </c>
      <c r="E25">
        <f>P4!K25</f>
        <v/>
      </c>
      <c r="F25">
        <f>Final!H7</f>
        <v/>
      </c>
      <c r="G25">
        <f>SUMIF(Regrades!B:B,A25,Regrades!F:F)</f>
        <v/>
      </c>
      <c r="H25">
        <f>0.25*D25+0.25*E25+0.5*F25+G25</f>
        <v/>
      </c>
    </row>
    <row r="26">
      <c r="A26" t="inlineStr">
        <is>
          <t>khale16</t>
        </is>
      </c>
      <c r="B26" t="inlineStr">
        <is>
          <t>Hale</t>
        </is>
      </c>
      <c r="C26" t="inlineStr">
        <is>
          <t>Kyle</t>
        </is>
      </c>
      <c r="D26">
        <f>P3!J26</f>
        <v/>
      </c>
      <c r="E26">
        <f>P4!K26</f>
        <v/>
      </c>
      <c r="F26">
        <f>Final!H8</f>
        <v/>
      </c>
      <c r="G26">
        <f>SUMIF(Regrades!B:B,A26,Regrades!F:F)</f>
        <v/>
      </c>
      <c r="H26">
        <f>0.25*D26+0.25*E26+0.5*F26+G26</f>
        <v/>
      </c>
    </row>
    <row r="27">
      <c r="A27" t="inlineStr">
        <is>
          <t>shale29</t>
        </is>
      </c>
      <c r="B27" t="inlineStr">
        <is>
          <t>Hale</t>
        </is>
      </c>
      <c r="C27" t="inlineStr">
        <is>
          <t>Sofia</t>
        </is>
      </c>
      <c r="D27">
        <f>P3!J27</f>
        <v/>
      </c>
      <c r="E27">
        <f>P4!K27</f>
        <v/>
      </c>
      <c r="F27">
        <f>Final!H8</f>
        <v/>
      </c>
      <c r="G27">
        <f>SUMIF(Regrades!B:B,A27,Regrades!F:F)</f>
        <v/>
      </c>
      <c r="H27">
        <f>0.25*D27+0.25*E27+0.5*F27+G27</f>
        <v/>
      </c>
    </row>
    <row r="28">
      <c r="A28" t="inlineStr">
        <is>
          <t>nholt27</t>
        </is>
      </c>
      <c r="B28" t="inlineStr">
        <is>
          <t>Holt</t>
        </is>
      </c>
      <c r="C28" t="inlineStr">
        <is>
          <t>Noah</t>
        </is>
      </c>
      <c r="D28">
        <f>P3!J28</f>
        <v/>
      </c>
      <c r="E28">
        <f>P4!K28</f>
        <v/>
      </c>
      <c r="F28">
        <f>Final!H8</f>
        <v/>
      </c>
      <c r="G28">
        <f>SUMIF(Regrades!B:B,A28,Regrades!F:F)</f>
        <v/>
      </c>
      <c r="H28">
        <f>0.25*D28+0.25*E28+0.5*F28+G28</f>
        <v/>
      </c>
    </row>
    <row r="29">
      <c r="A29" t="inlineStr">
        <is>
          <t>aiqbal87</t>
        </is>
      </c>
      <c r="B29" t="inlineStr">
        <is>
          <t>Iqbal</t>
        </is>
      </c>
      <c r="C29" t="inlineStr">
        <is>
          <t>Anika</t>
        </is>
      </c>
      <c r="D29">
        <f>P3!J29</f>
        <v/>
      </c>
      <c r="E29">
        <f>P4!K29</f>
        <v/>
      </c>
      <c r="F29">
        <f>Final!H8</f>
        <v/>
      </c>
      <c r="G29">
        <f>SUMIF(Regrades!B:B,A29,Regrades!F:F)</f>
        <v/>
      </c>
      <c r="H29">
        <f>0.25*D29+0.25*E29+0.5*F29+G29</f>
        <v/>
      </c>
    </row>
    <row r="30">
      <c r="A30" t="inlineStr">
        <is>
          <t>ciqbal17</t>
        </is>
      </c>
      <c r="B30" t="inlineStr">
        <is>
          <t>Iqbal</t>
        </is>
      </c>
      <c r="C30" t="inlineStr">
        <is>
          <t>Caleb</t>
        </is>
      </c>
      <c r="D30">
        <f>P3!J30</f>
        <v/>
      </c>
      <c r="E30">
        <f>P4!K30</f>
        <v/>
      </c>
      <c r="F30">
        <f>Final!H9</f>
        <v/>
      </c>
      <c r="G30">
        <f>SUMIF(Regrades!B:B,A30,Regrades!F:F)</f>
        <v/>
      </c>
      <c r="H30">
        <f>0.25*D30+0.25*E30+0.5*F30+G30</f>
        <v/>
      </c>
    </row>
    <row r="31">
      <c r="A31" t="inlineStr">
        <is>
          <t>bjense80</t>
        </is>
      </c>
      <c r="B31" t="inlineStr">
        <is>
          <t>Jensen</t>
        </is>
      </c>
      <c r="C31" t="inlineStr">
        <is>
          <t>Ben</t>
        </is>
      </c>
      <c r="D31">
        <f>P3!J31</f>
        <v/>
      </c>
      <c r="E31">
        <f>P4!K31</f>
        <v/>
      </c>
      <c r="F31">
        <f>Final!H9</f>
        <v/>
      </c>
      <c r="G31">
        <f>SUMIF(Regrades!B:B,A31,Regrades!F:F)</f>
        <v/>
      </c>
      <c r="H31">
        <f>0.25*D31+0.25*E31+0.5*F31+G31</f>
        <v/>
      </c>
    </row>
    <row r="32">
      <c r="A32" t="inlineStr">
        <is>
          <t>kjense36</t>
        </is>
      </c>
      <c r="B32" t="inlineStr">
        <is>
          <t>Jensen</t>
        </is>
      </c>
      <c r="C32" t="inlineStr">
        <is>
          <t>Kyle</t>
        </is>
      </c>
      <c r="D32">
        <f>P3!J32</f>
        <v/>
      </c>
      <c r="E32">
        <f>P4!K32</f>
        <v/>
      </c>
      <c r="F32">
        <f>Final!H9</f>
        <v/>
      </c>
      <c r="G32">
        <f>SUMIF(Regrades!B:B,A32,Regrades!F:F)</f>
        <v/>
      </c>
      <c r="H32">
        <f>0.25*D32+0.25*E32+0.5*F32+G32</f>
        <v/>
      </c>
    </row>
    <row r="33">
      <c r="A33" t="inlineStr">
        <is>
          <t>ljense7</t>
        </is>
      </c>
      <c r="B33" t="inlineStr">
        <is>
          <t>Jensen</t>
        </is>
      </c>
      <c r="C33" t="inlineStr">
        <is>
          <t>Leah</t>
        </is>
      </c>
      <c r="D33">
        <f>P3!J33</f>
        <v/>
      </c>
      <c r="E33">
        <f>P4!K33</f>
        <v/>
      </c>
      <c r="F33">
        <f>Final!H9</f>
        <v/>
      </c>
      <c r="G33">
        <f>SUMIF(Regrades!B:B,A33,Regrades!F:F)</f>
        <v/>
      </c>
      <c r="H33">
        <f>0.25*D33+0.25*E33+0.5*F33+G33</f>
        <v/>
      </c>
    </row>
    <row r="34">
      <c r="A34" t="inlineStr">
        <is>
          <t>kjorda48</t>
        </is>
      </c>
      <c r="B34" t="inlineStr">
        <is>
          <t>Jordan</t>
        </is>
      </c>
      <c r="C34" t="inlineStr">
        <is>
          <t>Kyle</t>
        </is>
      </c>
      <c r="D34">
        <f>P3!J34</f>
        <v/>
      </c>
      <c r="E34">
        <f>P4!K34</f>
        <v/>
      </c>
      <c r="F34">
        <f>Final!H10</f>
        <v/>
      </c>
      <c r="G34">
        <f>SUMIF(Regrades!B:B,A34,Regrades!F:F)</f>
        <v/>
      </c>
      <c r="H34">
        <f>0.25*D34+0.25*E34+0.5*F34+G34</f>
        <v/>
      </c>
    </row>
    <row r="35">
      <c r="A35" t="inlineStr">
        <is>
          <t>mkaur50</t>
        </is>
      </c>
      <c r="B35" t="inlineStr">
        <is>
          <t>Kaur</t>
        </is>
      </c>
      <c r="C35" t="inlineStr">
        <is>
          <t>Marco</t>
        </is>
      </c>
      <c r="D35">
        <f>P3!J35</f>
        <v/>
      </c>
      <c r="E35">
        <f>P4!K35</f>
        <v/>
      </c>
      <c r="F35">
        <f>Final!H10</f>
        <v/>
      </c>
      <c r="G35">
        <f>SUMIF(Regrades!B:B,A35,Regrades!F:F)</f>
        <v/>
      </c>
      <c r="H35">
        <f>0.25*D35+0.25*E35+0.5*F35+G35</f>
        <v/>
      </c>
    </row>
    <row r="36">
      <c r="A36" t="inlineStr">
        <is>
          <t>bkowal95</t>
        </is>
      </c>
      <c r="B36" t="inlineStr">
        <is>
          <t>Kowalski</t>
        </is>
      </c>
      <c r="C36" t="inlineStr">
        <is>
          <t>Ben</t>
        </is>
      </c>
      <c r="D36">
        <f>P3!J36</f>
        <v/>
      </c>
      <c r="E36">
        <f>P4!K36</f>
        <v/>
      </c>
      <c r="F36">
        <f>Final!H10</f>
        <v/>
      </c>
      <c r="G36">
        <f>SUMIF(Regrades!B:B,A36,Regrades!F:F)</f>
        <v/>
      </c>
      <c r="H36">
        <f>0.25*D36+0.25*E36+0.5*F36+G36</f>
        <v/>
      </c>
    </row>
    <row r="37">
      <c r="A37" t="inlineStr">
        <is>
          <t>nkowal51</t>
        </is>
      </c>
      <c r="B37" t="inlineStr">
        <is>
          <t>Kowalski</t>
        </is>
      </c>
      <c r="C37" t="inlineStr">
        <is>
          <t>Nadia</t>
        </is>
      </c>
      <c r="D37">
        <f>P3!J37</f>
        <v/>
      </c>
      <c r="E37">
        <f>P4!K37</f>
        <v/>
      </c>
      <c r="F37">
        <f>Final!H10</f>
        <v/>
      </c>
      <c r="G37">
        <f>SUMIF(Regrades!B:B,A37,Regrades!F:F)</f>
        <v/>
      </c>
      <c r="H37">
        <f>0.25*D37+0.25*E37+0.5*F37+G37</f>
        <v/>
      </c>
    </row>
    <row r="38">
      <c r="A38" t="inlineStr">
        <is>
          <t>okowal27</t>
        </is>
      </c>
      <c r="B38" t="inlineStr">
        <is>
          <t>Kowalski</t>
        </is>
      </c>
      <c r="C38" t="inlineStr">
        <is>
          <t>Owen</t>
        </is>
      </c>
      <c r="D38">
        <f>P3!J38</f>
        <v/>
      </c>
      <c r="E38">
        <f>P4!K38</f>
        <v/>
      </c>
      <c r="F38">
        <f>Final!H11</f>
        <v/>
      </c>
      <c r="G38">
        <f>SUMIF(Regrades!B:B,A38,Regrades!F:F)</f>
        <v/>
      </c>
      <c r="H38">
        <f>0.25*D38+0.25*E38+0.5*F38+G38</f>
        <v/>
      </c>
    </row>
    <row r="39">
      <c r="A39" t="inlineStr">
        <is>
          <t>skowal11</t>
        </is>
      </c>
      <c r="B39" t="inlineStr">
        <is>
          <t>Kowalski</t>
        </is>
      </c>
      <c r="C39" t="inlineStr">
        <is>
          <t>Sara</t>
        </is>
      </c>
      <c r="D39">
        <f>P3!J39</f>
        <v/>
      </c>
      <c r="E39">
        <f>P4!K39</f>
        <v/>
      </c>
      <c r="F39">
        <f>Final!H11</f>
        <v/>
      </c>
      <c r="G39">
        <f>SUMIF(Regrades!B:B,A39,Regrades!F:F)</f>
        <v/>
      </c>
      <c r="H39">
        <f>0.25*D39+0.25*E39+0.5*F39+G39</f>
        <v/>
      </c>
    </row>
    <row r="40">
      <c r="A40" t="inlineStr">
        <is>
          <t>dlowe11</t>
        </is>
      </c>
      <c r="B40" t="inlineStr">
        <is>
          <t>Lowe</t>
        </is>
      </c>
      <c r="C40" t="inlineStr">
        <is>
          <t>Daniel</t>
        </is>
      </c>
      <c r="D40">
        <f>P3!J40</f>
        <v/>
      </c>
      <c r="E40">
        <f>P4!K40</f>
        <v/>
      </c>
      <c r="F40">
        <f>Final!H11</f>
        <v/>
      </c>
      <c r="G40">
        <f>SUMIF(Regrades!B:B,A40,Regrades!F:F)</f>
        <v/>
      </c>
      <c r="H40">
        <f>0.25*D40+0.25*E40+0.5*F40+G40</f>
        <v/>
      </c>
    </row>
    <row r="41">
      <c r="A41" t="inlineStr">
        <is>
          <t>elowe23</t>
        </is>
      </c>
      <c r="B41" t="inlineStr">
        <is>
          <t>Lowe</t>
        </is>
      </c>
      <c r="C41" t="inlineStr">
        <is>
          <t>Emily</t>
        </is>
      </c>
      <c r="D41">
        <f>P3!J41</f>
        <v/>
      </c>
      <c r="E41">
        <f>P4!K41</f>
        <v/>
      </c>
      <c r="F41">
        <f>Final!H11</f>
        <v/>
      </c>
      <c r="G41">
        <f>SUMIF(Regrades!B:B,A41,Regrades!F:F)</f>
        <v/>
      </c>
      <c r="H41">
        <f>0.25*D41+0.25*E41+0.5*F41+G41</f>
        <v/>
      </c>
    </row>
    <row r="42">
      <c r="A42" t="inlineStr">
        <is>
          <t>jlowe60</t>
        </is>
      </c>
      <c r="B42" t="inlineStr">
        <is>
          <t>Lowe</t>
        </is>
      </c>
      <c r="C42" t="inlineStr">
        <is>
          <t>Jacob</t>
        </is>
      </c>
      <c r="D42">
        <f>P3!J42</f>
        <v/>
      </c>
      <c r="E42">
        <f>P4!K42</f>
        <v/>
      </c>
      <c r="F42">
        <f>Final!H12</f>
        <v/>
      </c>
      <c r="G42">
        <f>SUMIF(Regrades!B:B,A42,Regrades!F:F)</f>
        <v/>
      </c>
      <c r="H42">
        <f>0.25*D42+0.25*E42+0.5*F42+G42</f>
        <v/>
      </c>
    </row>
    <row r="43">
      <c r="A43" t="inlineStr">
        <is>
          <t>emendo45</t>
        </is>
      </c>
      <c r="B43" t="inlineStr">
        <is>
          <t>Mendoza</t>
        </is>
      </c>
      <c r="C43" t="inlineStr">
        <is>
          <t>Ellie</t>
        </is>
      </c>
      <c r="D43">
        <f>P3!J43</f>
        <v/>
      </c>
      <c r="E43">
        <f>P4!K43</f>
        <v/>
      </c>
      <c r="F43">
        <f>Final!H12</f>
        <v/>
      </c>
      <c r="G43">
        <f>SUMIF(Regrades!B:B,A43,Regrades!F:F)</f>
        <v/>
      </c>
      <c r="H43">
        <f>0.25*D43+0.25*E43+0.5*F43+G43</f>
        <v/>
      </c>
    </row>
    <row r="44">
      <c r="A44" t="inlineStr">
        <is>
          <t>mmendo55</t>
        </is>
      </c>
      <c r="B44" t="inlineStr">
        <is>
          <t>Mendoza</t>
        </is>
      </c>
      <c r="C44" t="inlineStr">
        <is>
          <t>Mason</t>
        </is>
      </c>
      <c r="D44">
        <f>P3!J44</f>
        <v/>
      </c>
      <c r="E44">
        <f>P4!K44</f>
        <v/>
      </c>
      <c r="F44">
        <f>Final!H12</f>
        <v/>
      </c>
      <c r="G44">
        <f>SUMIF(Regrades!B:B,A44,Regrades!F:F)</f>
        <v/>
      </c>
      <c r="H44">
        <f>0.25*D44+0.25*E44+0.5*F44+G44</f>
        <v/>
      </c>
    </row>
    <row r="45">
      <c r="A45" t="inlineStr">
        <is>
          <t>jnakam87</t>
        </is>
      </c>
      <c r="B45" t="inlineStr">
        <is>
          <t>Nakamura</t>
        </is>
      </c>
      <c r="C45" t="inlineStr">
        <is>
          <t>Jacob</t>
        </is>
      </c>
      <c r="D45">
        <f>P3!J45</f>
        <v/>
      </c>
      <c r="E45">
        <f>P4!K45</f>
        <v/>
      </c>
      <c r="F45">
        <f>Final!H12</f>
        <v/>
      </c>
      <c r="G45">
        <f>SUMIF(Regrades!B:B,A45,Regrades!F:F)</f>
        <v/>
      </c>
      <c r="H45">
        <f>0.25*D45+0.25*E45+0.5*F45+G45</f>
        <v/>
      </c>
    </row>
    <row r="46">
      <c r="A46" t="inlineStr">
        <is>
          <t>gokafo31</t>
        </is>
      </c>
      <c r="B46" t="inlineStr">
        <is>
          <t>Okafor</t>
        </is>
      </c>
      <c r="C46" t="inlineStr">
        <is>
          <t>Grace</t>
        </is>
      </c>
      <c r="D46">
        <f>P3!J46</f>
        <v/>
      </c>
      <c r="E46">
        <f>P4!K46</f>
        <v/>
      </c>
      <c r="F46">
        <f>Final!H13</f>
        <v/>
      </c>
      <c r="G46">
        <f>SUMIF(Regrades!B:B,A46,Regrades!F:F)</f>
        <v/>
      </c>
      <c r="H46">
        <f>0.25*D46+0.25*E46+0.5*F46+G46</f>
        <v/>
      </c>
    </row>
    <row r="47">
      <c r="A47" t="inlineStr">
        <is>
          <t>tokafo53</t>
        </is>
      </c>
      <c r="B47" t="inlineStr">
        <is>
          <t>Okafor</t>
        </is>
      </c>
      <c r="C47" t="inlineStr">
        <is>
          <t>Tyler</t>
        </is>
      </c>
      <c r="D47">
        <f>P3!J47</f>
        <v/>
      </c>
      <c r="E47">
        <f>P4!K47</f>
        <v/>
      </c>
      <c r="F47">
        <f>Final!H13</f>
        <v/>
      </c>
      <c r="G47">
        <f>SUMIF(Regrades!B:B,A47,Regrades!F:F)</f>
        <v/>
      </c>
      <c r="H47">
        <f>0.25*D47+0.25*E47+0.5*F47+G47</f>
        <v/>
      </c>
    </row>
    <row r="48">
      <c r="A48" t="inlineStr">
        <is>
          <t>aprice22</t>
        </is>
      </c>
      <c r="B48" t="inlineStr">
        <is>
          <t>Price</t>
        </is>
      </c>
      <c r="C48" t="inlineStr">
        <is>
          <t>Anika</t>
        </is>
      </c>
      <c r="D48">
        <f>P3!J48</f>
        <v/>
      </c>
      <c r="E48">
        <f>P4!K48</f>
        <v/>
      </c>
      <c r="F48">
        <f>Final!H13</f>
        <v/>
      </c>
      <c r="G48">
        <f>SUMIF(Regrades!B:B,A48,Regrades!F:F)</f>
        <v/>
      </c>
      <c r="H48">
        <f>0.25*D48+0.25*E48+0.5*F48+G48</f>
        <v/>
      </c>
    </row>
    <row r="49">
      <c r="A49" t="inlineStr">
        <is>
          <t>lprice55</t>
        </is>
      </c>
      <c r="B49" t="inlineStr">
        <is>
          <t>Price</t>
        </is>
      </c>
      <c r="C49" t="inlineStr">
        <is>
          <t>Logan</t>
        </is>
      </c>
      <c r="D49">
        <f>P3!J49</f>
        <v/>
      </c>
      <c r="E49">
        <f>P4!K49</f>
        <v/>
      </c>
      <c r="F49">
        <f>Final!H13</f>
        <v/>
      </c>
      <c r="G49">
        <f>SUMIF(Regrades!B:B,A49,Regrades!F:F)</f>
        <v/>
      </c>
      <c r="H49">
        <f>0.25*D49+0.25*E49+0.5*F49+G49</f>
        <v/>
      </c>
    </row>
    <row r="50">
      <c r="A50" t="inlineStr">
        <is>
          <t>tprice13</t>
        </is>
      </c>
      <c r="B50" t="inlineStr">
        <is>
          <t>Price</t>
        </is>
      </c>
      <c r="C50" t="inlineStr">
        <is>
          <t>Tyler</t>
        </is>
      </c>
      <c r="D50">
        <f>P3!J50</f>
        <v/>
      </c>
      <c r="E50">
        <f>P4!K50</f>
        <v/>
      </c>
      <c r="F50">
        <f>Final!H14</f>
        <v/>
      </c>
      <c r="G50">
        <f>SUMIF(Regrades!B:B,A50,Regrades!F:F)</f>
        <v/>
      </c>
      <c r="H50">
        <f>0.25*D50+0.25*E50+0.5*F50+G50</f>
        <v/>
      </c>
    </row>
    <row r="51">
      <c r="A51" t="inlineStr">
        <is>
          <t>lquinn84</t>
        </is>
      </c>
      <c r="B51" t="inlineStr">
        <is>
          <t>Quinn</t>
        </is>
      </c>
      <c r="C51" t="inlineStr">
        <is>
          <t>Liam</t>
        </is>
      </c>
      <c r="D51">
        <f>P3!J51</f>
        <v/>
      </c>
      <c r="E51">
        <f>P4!K51</f>
        <v/>
      </c>
      <c r="F51">
        <f>Final!H14</f>
        <v/>
      </c>
      <c r="G51">
        <f>SUMIF(Regrades!B:B,A51,Regrades!F:F)</f>
        <v/>
      </c>
      <c r="H51">
        <f>0.25*D51+0.25*E51+0.5*F51+G51</f>
        <v/>
      </c>
    </row>
    <row r="52">
      <c r="A52" t="inlineStr">
        <is>
          <t>jrahma6</t>
        </is>
      </c>
      <c r="B52" t="inlineStr">
        <is>
          <t>Rahman</t>
        </is>
      </c>
      <c r="C52" t="inlineStr">
        <is>
          <t>Julia</t>
        </is>
      </c>
      <c r="D52">
        <f>P3!J52</f>
        <v/>
      </c>
      <c r="E52">
        <f>P4!K52</f>
        <v/>
      </c>
      <c r="F52">
        <f>Final!H14</f>
        <v/>
      </c>
      <c r="G52">
        <f>SUMIF(Regrades!B:B,A52,Regrades!F:F)</f>
        <v/>
      </c>
      <c r="H52">
        <f>0.25*D52+0.25*E52+0.5*F52+G52</f>
        <v/>
      </c>
    </row>
    <row r="53">
      <c r="A53" t="inlineStr">
        <is>
          <t>nrahma20</t>
        </is>
      </c>
      <c r="B53" t="inlineStr">
        <is>
          <t>Rahman</t>
        </is>
      </c>
      <c r="C53" t="inlineStr">
        <is>
          <t>Nadia</t>
        </is>
      </c>
      <c r="D53">
        <f>P3!J53</f>
        <v/>
      </c>
      <c r="E53">
        <f>P4!K53</f>
        <v/>
      </c>
      <c r="F53">
        <f>Final!H14</f>
        <v/>
      </c>
      <c r="G53">
        <f>SUMIF(Regrades!B:B,A53,Regrades!F:F)</f>
        <v/>
      </c>
      <c r="H53">
        <f>0.25*D53+0.25*E53+0.5*F53+G53</f>
        <v/>
      </c>
    </row>
    <row r="54">
      <c r="A54" t="inlineStr">
        <is>
          <t>esulli81</t>
        </is>
      </c>
      <c r="B54" t="inlineStr">
        <is>
          <t>Sullivan</t>
        </is>
      </c>
      <c r="C54" t="inlineStr">
        <is>
          <t>Ethan</t>
        </is>
      </c>
      <c r="D54">
        <f>P3!J54</f>
        <v/>
      </c>
      <c r="E54">
        <f>P4!K54</f>
        <v/>
      </c>
      <c r="F54">
        <f>Final!H15</f>
        <v/>
      </c>
      <c r="G54">
        <f>SUMIF(Regrades!B:B,A54,Regrades!F:F)</f>
        <v/>
      </c>
      <c r="H54">
        <f>0.25*D54+0.25*E54+0.5*F54+G54</f>
        <v/>
      </c>
    </row>
    <row r="55">
      <c r="A55" t="inlineStr">
        <is>
          <t>ssulli17</t>
        </is>
      </c>
      <c r="B55" t="inlineStr">
        <is>
          <t>Sullivan</t>
        </is>
      </c>
      <c r="C55" t="inlineStr">
        <is>
          <t>Sofia</t>
        </is>
      </c>
      <c r="D55">
        <f>P3!J55</f>
        <v/>
      </c>
      <c r="E55">
        <f>P4!K55</f>
        <v/>
      </c>
      <c r="F55">
        <f>Final!H15</f>
        <v/>
      </c>
      <c r="G55">
        <f>SUMIF(Regrades!B:B,A55,Regrades!F:F)</f>
        <v/>
      </c>
      <c r="H55">
        <f>0.25*D55+0.25*E55+0.5*F55+G55</f>
        <v/>
      </c>
    </row>
    <row r="56">
      <c r="A56" t="inlineStr">
        <is>
          <t>stran52</t>
        </is>
      </c>
      <c r="B56" t="inlineStr">
        <is>
          <t>Tran</t>
        </is>
      </c>
      <c r="C56" t="inlineStr">
        <is>
          <t>Sara</t>
        </is>
      </c>
      <c r="D56">
        <f>P3!J56</f>
        <v/>
      </c>
      <c r="E56">
        <f>P4!K56</f>
        <v/>
      </c>
      <c r="F56">
        <f>Final!H15</f>
        <v/>
      </c>
      <c r="G56">
        <f>SUMIF(Regrades!B:B,A56,Regrades!F:F)</f>
        <v/>
      </c>
      <c r="H56">
        <f>0.25*D56+0.25*E56+0.5*F56+G56</f>
        <v/>
      </c>
    </row>
    <row r="57">
      <c r="A57" t="inlineStr">
        <is>
          <t>ztran47</t>
        </is>
      </c>
      <c r="B57" t="inlineStr">
        <is>
          <t>Tran</t>
        </is>
      </c>
      <c r="C57" t="inlineStr">
        <is>
          <t>Zoe</t>
        </is>
      </c>
      <c r="D57">
        <f>P3!J57</f>
        <v/>
      </c>
      <c r="E57">
        <f>P4!K57</f>
        <v/>
      </c>
      <c r="F57">
        <f>Final!H15</f>
        <v/>
      </c>
      <c r="G57">
        <f>SUMIF(Regrades!B:B,A57,Regrades!F:F)</f>
        <v/>
      </c>
      <c r="H57">
        <f>0.25*D57+0.25*E57+0.5*F57+G57</f>
        <v/>
      </c>
    </row>
    <row r="58">
      <c r="A58" t="inlineStr">
        <is>
          <t>funder16</t>
        </is>
      </c>
      <c r="B58" t="inlineStr">
        <is>
          <t>Underwood</t>
        </is>
      </c>
      <c r="C58" t="inlineStr">
        <is>
          <t>Fatima</t>
        </is>
      </c>
      <c r="D58">
        <f>P3!J58</f>
        <v/>
      </c>
      <c r="E58">
        <f>P4!K58</f>
        <v/>
      </c>
      <c r="F58">
        <f>Final!H16</f>
        <v/>
      </c>
      <c r="G58">
        <f>SUMIF(Regrades!B:B,A58,Regrades!F:F)</f>
        <v/>
      </c>
      <c r="H58">
        <f>0.25*D58+0.25*E58+0.5*F58+G58</f>
        <v/>
      </c>
    </row>
    <row r="59">
      <c r="A59" t="inlineStr">
        <is>
          <t>ivasqu96</t>
        </is>
      </c>
      <c r="B59" t="inlineStr">
        <is>
          <t>Vasquez</t>
        </is>
      </c>
      <c r="C59" t="inlineStr">
        <is>
          <t>Isabel</t>
        </is>
      </c>
      <c r="D59">
        <f>P3!J59</f>
        <v/>
      </c>
      <c r="E59">
        <f>P4!K59</f>
        <v/>
      </c>
      <c r="F59">
        <f>Final!H16</f>
        <v/>
      </c>
      <c r="G59">
        <f>SUMIF(Regrades!B:B,A59,Regrades!F:F)</f>
        <v/>
      </c>
      <c r="H59">
        <f>0.25*D59+0.25*E59+0.5*F59+G59</f>
        <v/>
      </c>
    </row>
    <row r="60">
      <c r="A60" t="inlineStr">
        <is>
          <t>rvasqu24</t>
        </is>
      </c>
      <c r="B60" t="inlineStr">
        <is>
          <t>Vasquez</t>
        </is>
      </c>
      <c r="C60" t="inlineStr">
        <is>
          <t>Ryan</t>
        </is>
      </c>
      <c r="D60">
        <f>P3!J60</f>
        <v/>
      </c>
      <c r="E60">
        <f>P4!K60</f>
        <v/>
      </c>
      <c r="F60">
        <f>Final!H16</f>
        <v/>
      </c>
      <c r="G60">
        <f>SUMIF(Regrades!B:B,A60,Regrades!F:F)</f>
        <v/>
      </c>
      <c r="H60">
        <f>0.25*D60+0.25*E60+0.5*F60+G60</f>
        <v/>
      </c>
    </row>
    <row r="61">
      <c r="A61" t="inlineStr">
        <is>
          <t>jwalsh91</t>
        </is>
      </c>
      <c r="B61" t="inlineStr">
        <is>
          <t>Walsh</t>
        </is>
      </c>
      <c r="C61" t="inlineStr">
        <is>
          <t>Jacob</t>
        </is>
      </c>
      <c r="D61">
        <f>P3!J61</f>
        <v/>
      </c>
      <c r="E61">
        <f>P4!K61</f>
        <v/>
      </c>
      <c r="F61">
        <f>Final!H16</f>
        <v/>
      </c>
      <c r="G61">
        <f>SUMIF(Regrades!B:B,A61,Regrades!F:F)</f>
        <v/>
      </c>
      <c r="H61">
        <f>0.25*D61+0.25*E61+0.5*F61+G61</f>
        <v/>
      </c>
    </row>
    <row r="62">
      <c r="A62" t="inlineStr">
        <is>
          <t>nwalsh38</t>
        </is>
      </c>
      <c r="B62" t="inlineStr">
        <is>
          <t>Walsh</t>
        </is>
      </c>
      <c r="C62" t="inlineStr">
        <is>
          <t>Nadia</t>
        </is>
      </c>
      <c r="D62">
        <f>P3!J62</f>
        <v/>
      </c>
      <c r="E62">
        <f>P4!K62</f>
        <v/>
      </c>
      <c r="F62">
        <f>Final!H17</f>
        <v/>
      </c>
      <c r="G62">
        <f>SUMIF(Regrades!B:B,A62,Regrades!F:F)</f>
        <v/>
      </c>
      <c r="H62">
        <f>0.25*D62+0.25*E62+0.5*F62+G62</f>
        <v/>
      </c>
    </row>
    <row r="63">
      <c r="A63" t="inlineStr">
        <is>
          <t>zwalsh76</t>
        </is>
      </c>
      <c r="B63" t="inlineStr">
        <is>
          <t>Walsh</t>
        </is>
      </c>
      <c r="C63" t="inlineStr">
        <is>
          <t>Zoe</t>
        </is>
      </c>
      <c r="D63">
        <f>P3!J63</f>
        <v/>
      </c>
      <c r="E63">
        <f>P4!K63</f>
        <v/>
      </c>
      <c r="F63">
        <f>Final!H17</f>
        <v/>
      </c>
      <c r="G63">
        <f>SUMIF(Regrades!B:B,A63,Regrades!F:F)</f>
        <v/>
      </c>
      <c r="H63">
        <f>0.25*D63+0.25*E63+0.5*F63+G63</f>
        <v/>
      </c>
    </row>
    <row r="64">
      <c r="A64" t="inlineStr">
        <is>
          <t>tyilma60</t>
        </is>
      </c>
      <c r="B64" t="inlineStr">
        <is>
          <t>Yilmaz</t>
        </is>
      </c>
      <c r="C64" t="inlineStr">
        <is>
          <t>Tyler</t>
        </is>
      </c>
      <c r="D64">
        <f>P3!J64</f>
        <v/>
      </c>
      <c r="E64">
        <f>P4!K64</f>
        <v/>
      </c>
      <c r="F64">
        <f>Final!H17</f>
        <v/>
      </c>
      <c r="G64">
        <f>SUMIF(Regrades!B:B,A64,Regrades!F:F)</f>
        <v/>
      </c>
      <c r="H64">
        <f>0.25*D64+0.25*E64+0.5*F64+G64</f>
        <v/>
      </c>
    </row>
    <row r="65">
      <c r="A65" t="inlineStr">
        <is>
          <t>nzimme44</t>
        </is>
      </c>
      <c r="B65" t="inlineStr">
        <is>
          <t>Zimmerman</t>
        </is>
      </c>
      <c r="C65" t="inlineStr">
        <is>
          <t>Nathan</t>
        </is>
      </c>
      <c r="D65">
        <f>P3!J65</f>
        <v/>
      </c>
      <c r="E65">
        <f>P4!K65</f>
        <v/>
      </c>
      <c r="F65">
        <f>Final!H17</f>
        <v/>
      </c>
      <c r="G65">
        <f>SUMIF(Regrades!B:B,A65,Regrades!F:F)</f>
        <v/>
      </c>
      <c r="H65">
        <f>0.25*D65+0.25*E65+0.5*F65+G65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CS 3604 F25 grading</dc:title>
  <dcterms:created xmlns:dcterms="http://purl.org/dc/terms/" xmlns:xsi="http://www.w3.org/2001/XMLSchema-instance" xsi:type="dcterms:W3CDTF">2025-10-20T18:10:00Z</dcterms:created>
  <dcterms:modified xmlns:dcterms="http://purl.org/dc/terms/" xmlns:xsi="http://www.w3.org/2001/XMLSchema-instance" xsi:type="dcterms:W3CDTF">2025-12-15T21:42:00Z</dcterms:modified>
  <cp:lastModifiedBy>David Barron</cp:lastModifiedBy>
</cp:coreProperties>
</file>