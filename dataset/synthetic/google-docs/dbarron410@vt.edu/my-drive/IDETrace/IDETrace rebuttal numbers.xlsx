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Leak check" sheetId="2" state="visible" r:id="rId2"/>
    <sheet xmlns:r="http://schemas.openxmlformats.org/officeDocument/2006/relationships" name="Rebuttal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7" customWidth="1" min="4" max="4"/>
    <col width="18" customWidth="1" min="5" max="5"/>
    <col width="12" customWidth="1" min="6" max="6"/>
    <col width="17" customWidth="1" min="7" max="7"/>
  </cols>
  <sheetData>
    <row r="1">
      <c r="A1" t="inlineStr">
        <is>
          <t>Fold</t>
        </is>
      </c>
      <c r="B1" t="inlineStr">
        <is>
          <t>Split</t>
        </is>
      </c>
      <c r="C1" t="inlineStr">
        <is>
          <t>Windows (test)</t>
        </is>
      </c>
      <c r="D1" t="inlineStr">
        <is>
          <t>Students (test)</t>
        </is>
      </c>
      <c r="E1" t="inlineStr">
        <is>
          <t>Macro-F1</t>
        </is>
      </c>
      <c r="F1" t="inlineStr">
        <is>
          <t>Stalled F1</t>
        </is>
      </c>
      <c r="G1" t="inlineStr">
        <is>
          <t>Help-seeking F1</t>
        </is>
      </c>
    </row>
    <row r="2">
      <c r="A2" t="n">
        <v>1</v>
      </c>
      <c r="B2" t="inlineStr">
        <is>
          <t>window-random (original)</t>
        </is>
      </c>
      <c r="C2" t="n">
        <v>2210</v>
      </c>
      <c r="D2" t="inlineStr">
        <is>
          <t>n/a (leaky)</t>
        </is>
      </c>
      <c r="E2" t="n">
        <v>0.82</v>
      </c>
      <c r="F2" t="n">
        <v>0.76</v>
      </c>
      <c r="G2" t="n">
        <v>0.85</v>
      </c>
    </row>
    <row r="3">
      <c r="A3" t="n">
        <v>2</v>
      </c>
      <c r="B3" t="inlineStr">
        <is>
          <t>window-random (original)</t>
        </is>
      </c>
      <c r="C3" t="n">
        <v>2227</v>
      </c>
      <c r="D3" t="inlineStr">
        <is>
          <t>n/a (leaky)</t>
        </is>
      </c>
      <c r="E3" t="n">
        <v>0.8</v>
      </c>
      <c r="F3" t="n">
        <v>0.74</v>
      </c>
      <c r="G3" t="n">
        <v>0.83</v>
      </c>
    </row>
    <row r="4">
      <c r="A4" t="n">
        <v>3</v>
      </c>
      <c r="B4" t="inlineStr">
        <is>
          <t>window-random (original)</t>
        </is>
      </c>
      <c r="C4" t="n">
        <v>2244</v>
      </c>
      <c r="D4" t="inlineStr">
        <is>
          <t>n/a (leaky)</t>
        </is>
      </c>
      <c r="E4" t="n">
        <v>0.8100000000000001</v>
      </c>
      <c r="F4" t="n">
        <v>0.75</v>
      </c>
      <c r="G4" t="n">
        <v>0.84</v>
      </c>
    </row>
    <row r="5">
      <c r="A5" t="n">
        <v>4</v>
      </c>
      <c r="B5" t="inlineStr">
        <is>
          <t>window-random (original)</t>
        </is>
      </c>
      <c r="C5" t="n">
        <v>2261</v>
      </c>
      <c r="D5" t="inlineStr">
        <is>
          <t>n/a (leaky)</t>
        </is>
      </c>
      <c r="E5" t="n">
        <v>0.83</v>
      </c>
      <c r="F5" t="n">
        <v>0.77</v>
      </c>
      <c r="G5" t="n">
        <v>0.86</v>
      </c>
    </row>
    <row r="6">
      <c r="A6" t="n">
        <v>5</v>
      </c>
      <c r="B6" t="inlineStr">
        <is>
          <t>window-random (original)</t>
        </is>
      </c>
      <c r="C6" t="n">
        <v>2278</v>
      </c>
      <c r="D6" t="inlineStr">
        <is>
          <t>n/a (leaky)</t>
        </is>
      </c>
      <c r="E6" t="n">
        <v>0.79</v>
      </c>
      <c r="F6" t="n">
        <v>0.73</v>
      </c>
      <c r="G6" t="n">
        <v>0.82</v>
      </c>
    </row>
    <row r="7">
      <c r="A7" t="n">
        <v>1</v>
      </c>
      <c r="B7" t="inlineStr">
        <is>
          <t>GroupKFold by student_id</t>
        </is>
      </c>
      <c r="C7" t="n">
        <v>2190</v>
      </c>
      <c r="D7" t="n">
        <v>41</v>
      </c>
      <c r="E7" t="n">
        <v>0.75</v>
      </c>
      <c r="F7" t="n">
        <v>0.66</v>
      </c>
      <c r="G7" t="n">
        <v>0.77</v>
      </c>
    </row>
    <row r="8">
      <c r="A8" t="n">
        <v>2</v>
      </c>
      <c r="B8" t="inlineStr">
        <is>
          <t>GroupKFold by student_id</t>
        </is>
      </c>
      <c r="C8" t="n">
        <v>2213</v>
      </c>
      <c r="D8" t="n">
        <v>42</v>
      </c>
      <c r="E8" t="n">
        <v>0.73</v>
      </c>
      <c r="F8" t="n">
        <v>0.64</v>
      </c>
      <c r="G8" t="n">
        <v>0.75</v>
      </c>
    </row>
    <row r="9">
      <c r="A9" t="n">
        <v>3</v>
      </c>
      <c r="B9" t="inlineStr">
        <is>
          <t>GroupKFold by student_id</t>
        </is>
      </c>
      <c r="C9" t="n">
        <v>2236</v>
      </c>
      <c r="D9" t="n">
        <v>41</v>
      </c>
      <c r="E9" t="n">
        <v>0.74</v>
      </c>
      <c r="F9" t="n">
        <v>0.65</v>
      </c>
      <c r="G9" t="n">
        <v>0.76</v>
      </c>
    </row>
    <row r="10">
      <c r="A10" t="n">
        <v>4</v>
      </c>
      <c r="B10" t="inlineStr">
        <is>
          <t>GroupKFold by student_id</t>
        </is>
      </c>
      <c r="C10" t="n">
        <v>2259</v>
      </c>
      <c r="D10" t="n">
        <v>42</v>
      </c>
      <c r="E10" t="n">
        <v>0.75</v>
      </c>
      <c r="F10" t="n">
        <v>0.66</v>
      </c>
      <c r="G10" t="n">
        <v>0.77</v>
      </c>
    </row>
    <row r="11">
      <c r="A11" t="n">
        <v>5</v>
      </c>
      <c r="B11" t="inlineStr">
        <is>
          <t>GroupKFold by student_id</t>
        </is>
      </c>
      <c r="C11" t="n">
        <v>2282</v>
      </c>
      <c r="D11" t="n">
        <v>41</v>
      </c>
      <c r="E11" t="n">
        <v>0.72</v>
      </c>
      <c r="F11" t="n">
        <v>0.63</v>
      </c>
      <c r="G11" t="n">
        <v>0.74</v>
      </c>
    </row>
    <row r="12">
      <c r="A12" t="inlineStr"/>
      <c r="B12" t="inlineStr">
        <is>
          <t>Mean original</t>
        </is>
      </c>
      <c r="C12" t="inlineStr"/>
      <c r="D12" t="inlineStr"/>
      <c r="E12">
        <f>AVERAGE(E2:E6)</f>
        <v/>
      </c>
      <c r="F12" t="inlineStr"/>
      <c r="G12" t="inlineStr"/>
    </row>
    <row r="13">
      <c r="A13" t="inlineStr"/>
      <c r="B13" t="inlineStr">
        <is>
          <t>Mean grouped</t>
        </is>
      </c>
      <c r="C13" t="inlineStr"/>
      <c r="D13" t="inlineStr"/>
      <c r="E13">
        <f>AVERAGE(E7:E11)</f>
        <v/>
      </c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</cols>
  <sheetData>
    <row r="1">
      <c r="A1" t="inlineStr">
        <is>
          <t>Check</t>
        </is>
      </c>
      <c r="B1" t="inlineStr">
        <is>
          <t>Original split</t>
        </is>
      </c>
      <c r="C1" t="inlineStr">
        <is>
          <t>Grouped split</t>
        </is>
      </c>
    </row>
    <row r="2">
      <c r="A2" t="inlineStr">
        <is>
          <t>students in both train and test (fold 1)</t>
        </is>
      </c>
      <c r="B2" t="n">
        <v>38</v>
      </c>
      <c r="C2" t="n">
        <v>0</v>
      </c>
    </row>
    <row r="3">
      <c r="A3" t="inlineStr">
        <is>
          <t>windows whose student appears in train</t>
        </is>
      </c>
      <c r="B3" t="inlineStr">
        <is>
          <t>91%</t>
        </is>
      </c>
      <c r="C3" t="inlineStr">
        <is>
          <t>0%</t>
        </is>
      </c>
    </row>
    <row r="4">
      <c r="A4" t="inlineStr">
        <is>
          <t>found on</t>
        </is>
      </c>
      <c r="B4" t="inlineStr">
        <is>
          <t>2026-07-24</t>
        </is>
      </c>
      <c r="C4" t="inlineStr"/>
    </row>
    <row r="5">
      <c r="A5" t="inlineStr">
        <is>
          <t>fixed in commit</t>
        </is>
      </c>
      <c r="B5" t="inlineStr"/>
      <c r="C5" t="inlineStr">
        <is>
          <t>split_by_student()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Paragraph</t>
        </is>
      </c>
    </row>
    <row r="2">
      <c r="A2" t="inlineStr">
        <is>
          <t>We found and fixed a leakage issue after submission: windows from the same student appeared in both train and test.</t>
        </is>
      </c>
    </row>
    <row r="3">
      <c r="A3" t="inlineStr">
        <is>
          <t>With a split grouped by student id, macro-F1 drops from 0.81 to 0.74. We report both and release the grouped split as the default.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IDETrace rebuttal numbers</dc:title>
  <dcterms:created xmlns:dcterms="http://purl.org/dc/terms/" xmlns:xsi="http://www.w3.org/2001/XMLSchema-instance" xsi:type="dcterms:W3CDTF">2026-07-25T03:40:00Z</dcterms:created>
  <dcterms:modified xmlns:dcterms="http://purl.org/dc/terms/" xmlns:xsi="http://www.w3.org/2001/XMLSchema-instance" xsi:type="dcterms:W3CDTF">2026-07-29T20:05:00Z</dcterms:modified>
  <cp:lastModifiedBy>David Barron</cp:lastModifiedBy>
</cp:coreProperties>
</file>